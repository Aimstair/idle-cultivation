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nputs" sheetId="2" state="visible" r:id="rId2"/>
    <sheet name="EXT_Budget" sheetId="3" state="visible" r:id="rId3"/>
    <sheet name="Qi_Pacing" sheetId="4" state="visible" r:id="rId4"/>
    <sheet name="Body_Pacing" sheetId="5" state="visible" r:id="rId5"/>
    <sheet name="Rebirth" sheetId="6" state="visible" r:id="rId6"/>
    <sheet name="Grounds_Economy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.0"/>
    <numFmt numFmtId="166" formatCode="0.0%"/>
    <numFmt numFmtId="167" formatCode="0.000"/>
    <numFmt numFmtId="168" formatCode="&quot;T&quot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color rgb="00008000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E8E2F4"/>
      </patternFill>
    </fill>
    <fill>
      <patternFill patternType="solid">
        <fgColor rgb="00FFFF00"/>
      </patternFill>
    </fill>
    <fill>
      <patternFill patternType="solid">
        <fgColor rgb="004B3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4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" fontId="4" fillId="3" borderId="0" pivotButton="0" quotePrefix="0" xfId="0"/>
    <xf numFmtId="9" fontId="4" fillId="3" borderId="0" pivotButton="0" quotePrefix="0" xfId="0"/>
    <xf numFmtId="9" fontId="3" fillId="0" borderId="0" pivotButton="0" quotePrefix="0" xfId="0"/>
    <xf numFmtId="1" fontId="4" fillId="0" borderId="0" pivotButton="0" quotePrefix="0" xfId="0"/>
    <xf numFmtId="0" fontId="5" fillId="4" borderId="0" applyAlignment="1" pivotButton="0" quotePrefix="0" xfId="0">
      <alignment vertical="center" wrapText="1"/>
    </xf>
    <xf numFmtId="3" fontId="4" fillId="0" borderId="0" pivotButton="0" quotePrefix="0" xfId="0"/>
    <xf numFmtId="165" fontId="4" fillId="0" borderId="0" pivotButton="0" quotePrefix="0" xfId="0"/>
    <xf numFmtId="11" fontId="4" fillId="3" borderId="0" pivotButton="0" quotePrefix="0" xfId="0"/>
    <xf numFmtId="0" fontId="6" fillId="0" borderId="0" pivotButton="0" quotePrefix="0" xfId="0"/>
    <xf numFmtId="166" fontId="4" fillId="0" borderId="0" pivotButton="0" quotePrefix="0" xfId="0"/>
    <xf numFmtId="2" fontId="3" fillId="0" borderId="0" pivotButton="0" quotePrefix="0" xfId="0"/>
    <xf numFmtId="4" fontId="3" fillId="0" borderId="0" pivotButton="0" quotePrefix="0" xfId="0"/>
    <xf numFmtId="11" fontId="3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2" fontId="6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168" fontId="3" fillId="0" borderId="0" pivotButton="0" quotePrefix="0" xfId="0"/>
    <xf numFmtId="3" fontId="3" fillId="0" borderId="0" pivotButton="0" quotePrefix="0" xfId="0"/>
    <xf numFmtId="168" fontId="4" fillId="0" borderId="0" pivotButton="0" quotePrefix="0" xfId="0"/>
    <xf numFmtId="10" fontId="3" fillId="0" borderId="0" pivotButton="0" quotePrefix="0" xfId="0"/>
    <xf numFmtId="1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Design docs</author>
  </authors>
  <commentList>
    <comment ref="E28" authorId="0" shapeId="0">
      <text>
        <t>Tuned by this model to hit the target days (new value, not in the docs yet).</t>
      </text>
    </comment>
    <comment ref="E29" authorId="0" shapeId="0">
      <text>
        <t>Tuned by this model to hit the target days (new value, not in the docs yet).</t>
      </text>
    </comment>
    <comment ref="E30" authorId="0" shapeId="0">
      <text>
        <t>Tuned by this model to hit the target days (new value, not in the docs yet).</t>
      </text>
    </comment>
    <comment ref="E31" authorId="0" shapeId="0">
      <text>
        <t>Tuned by this model to hit the target days (new value, not in the docs yet).</t>
      </text>
    </comment>
    <comment ref="E32" authorId="0" shapeId="0">
      <text>
        <t>Tuned by this model to hit the target days (new value, not in the docs yet).</t>
      </text>
    </comment>
    <comment ref="C42" authorId="0" shapeId="0">
      <text>
        <t>Tuned by this model to hit the target day (new value).</t>
      </text>
    </comment>
    <comment ref="C43" authorId="0" shapeId="0">
      <text>
        <t>Tuned by this model to hit the target day (new value).</t>
      </text>
    </comment>
    <comment ref="C44" authorId="0" shapeId="0">
      <text>
        <t>Tuned by this model to hit the target day (new value).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Idle Cultivation: Balancing Model</t>
        </is>
      </c>
    </row>
    <row r="2">
      <c r="A2" s="2" t="inlineStr"/>
    </row>
    <row r="3">
      <c r="A3" s="3" t="inlineStr">
        <is>
          <t>What this is</t>
        </is>
      </c>
    </row>
    <row r="4">
      <c r="A4" s="4" t="inlineStr">
        <is>
          <t>A working model of the progression math from 03-Economy.md, 02-Systems.md (Vessel Model) and content/*.md. Change the inputs and every sheet recalculates.</t>
        </is>
      </c>
    </row>
    <row r="5">
      <c r="A5" s="2" t="inlineStr"/>
    </row>
    <row r="6">
      <c r="A6" s="3" t="inlineStr">
        <is>
          <t>Color legend</t>
        </is>
      </c>
    </row>
    <row r="7">
      <c r="A7" s="4" t="inlineStr">
        <is>
          <t>Blue text = input you can change · Black = formula · Green = pulled from another sheet · Yellow fill = key assumption</t>
        </is>
      </c>
    </row>
    <row r="8">
      <c r="A8" s="2" t="inlineStr"/>
    </row>
    <row r="9">
      <c r="A9" s="3" t="inlineStr">
        <is>
          <t>Sheets</t>
        </is>
      </c>
    </row>
    <row r="10">
      <c r="A10" s="4" t="inlineStr">
        <is>
          <t>Inputs: global constants, realm table (BASE, REALM_RATE, targets, rebirth gains, Karma), body-stage table.</t>
        </is>
      </c>
    </row>
    <row r="11">
      <c r="A11" s="4" t="inlineStr">
        <is>
          <t>EXT_Budget: builds each realm's Qi multiplier (EXT) from grounds × Talisman × method × achievements × element match, and compares it with the old doc assumption.</t>
        </is>
      </c>
    </row>
    <row r="12">
      <c r="A12" s="4" t="inlineStr">
        <is>
          <t>Qi_Pacing: level-by-level Vessel Model for all 10 Mortal realms (refill + growth time), cumulative meditation hours and calendar days.</t>
        </is>
      </c>
    </row>
    <row r="13">
      <c r="A13" s="4" t="inlineStr">
        <is>
          <t>Body_Pacing: the same for the 7 body stages, using Train time.</t>
        </is>
      </c>
    </row>
    <row r="14">
      <c r="A14" s="4" t="inlineStr">
        <is>
          <t>Rebirth: stacked Qi/Body gains, Karma, and a 6-life planner (edit the blue 'reached' cells) with Dao Marks if you ascend.</t>
        </is>
      </c>
    </row>
    <row r="15">
      <c r="A15" s="4" t="inlineStr">
        <is>
          <t>Grounds_Economy: Spirit Stone income per tier vs Cultivation Ground upkeep, with recommended upkeep.</t>
        </is>
      </c>
    </row>
    <row r="16">
      <c r="A16" s="4" t="inlineStr">
        <is>
          <t>Checks: model vs target days, suggested BASE values to hit targets, EXT sanity, upkeep, and Karma milestones.</t>
        </is>
      </c>
    </row>
    <row r="17">
      <c r="A17" s="2" t="inlineStr"/>
    </row>
    <row r="18">
      <c r="A18" s="3" t="inlineStr">
        <is>
          <t>How to tune</t>
        </is>
      </c>
    </row>
    <row r="19">
      <c r="A19" s="4" t="inlineStr">
        <is>
          <t>1. Look at Checks. Any 'Retune' row has a 'Suggested BASE' that would hit its target.</t>
        </is>
      </c>
    </row>
    <row r="20">
      <c r="A20" s="4" t="inlineStr">
        <is>
          <t>2. Copy the suggestion into Inputs (blue cell), and the sheet recalculates. Later realms shift too, so tune top to bottom.</t>
        </is>
      </c>
    </row>
    <row r="21">
      <c r="A21" s="4" t="inlineStr">
        <is>
          <t>3. If a realm feels too fast because of multipliers, adjust EXT_Budget inputs (for example, achievement share) instead of BASE.</t>
        </is>
      </c>
    </row>
    <row r="22">
      <c r="A22" s="2" t="inlineStr"/>
    </row>
    <row r="23">
      <c r="A23" s="3" t="inlineStr">
        <is>
          <t>Model simplifications</t>
        </is>
      </c>
    </row>
    <row r="24">
      <c r="A24" s="4" t="inlineStr">
        <is>
          <t>· Times are pure Meditate (Qi) or Train (Body) time, converted to calendar days with the activity split on Inputs. Battle drain and pills aren't modelled.</t>
        </is>
      </c>
    </row>
    <row r="25">
      <c r="A25" s="4" t="inlineStr">
        <is>
          <t>· Breakthrough materials, success rolls, and tribulations add time on top (expect +20–40%).</t>
        </is>
      </c>
    </row>
    <row r="26">
      <c r="A26" s="4" t="inlineStr">
        <is>
          <t>· Rebirth life lengths are approximated as first-life hours ÷ the Qi multiplier for that life.</t>
        </is>
      </c>
    </row>
    <row r="27">
      <c r="A27" s="4" t="inlineStr">
        <is>
          <t>· SF–GA BASE values and Golden Body+ BODY_BASE values were tuned by this model to hit the registry targets; they are new numbers, not from the docs.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10" customWidth="1" min="4" max="4"/>
    <col width="16" customWidth="1" min="5" max="5"/>
    <col width="12" customWidth="1" min="6" max="6"/>
    <col width="16" customWidth="1" min="7" max="7"/>
    <col width="12" customWidth="1" min="8" max="8"/>
    <col width="12" customWidth="1" min="9" max="9"/>
    <col width="22" customWidth="1" min="10" max="10"/>
  </cols>
  <sheetData>
    <row r="1">
      <c r="A1" s="5" t="inlineStr">
        <is>
          <t>Inputs</t>
        </is>
      </c>
    </row>
    <row r="2"/>
    <row r="3">
      <c r="A3" s="6" t="inlineStr">
        <is>
          <t>Global constants</t>
        </is>
      </c>
      <c r="B3" s="6" t="inlineStr">
        <is>
          <t>Value</t>
        </is>
      </c>
      <c r="C3" s="6" t="inlineStr">
        <is>
          <t>Note / source</t>
        </is>
      </c>
    </row>
    <row r="4">
      <c r="A4" s="7" t="inlineStr">
        <is>
          <t>Cost growth per level (G)</t>
        </is>
      </c>
      <c r="B4" s="8" t="n">
        <v>1.15</v>
      </c>
      <c r="C4" s="7" t="inlineStr">
        <is>
          <t>03-Economy: work × 1.15 per level</t>
        </is>
      </c>
    </row>
    <row r="5">
      <c r="A5" s="7" t="inlineStr">
        <is>
          <t>Rate growth per level (P)</t>
        </is>
      </c>
      <c r="B5" s="8" t="n">
        <v>1.1</v>
      </c>
      <c r="C5" s="7" t="inlineStr">
        <is>
          <t>03-Economy: rate × 1.10 per level</t>
        </is>
      </c>
    </row>
    <row r="6">
      <c r="A6" s="7" t="inlineStr">
        <is>
          <t>Expansion efficiency</t>
        </is>
      </c>
      <c r="B6" s="9" t="n">
        <v>0.25</v>
      </c>
      <c r="C6" s="7" t="inlineStr">
        <is>
          <t>Vessel Model: 4 points → +1 max while full</t>
        </is>
      </c>
    </row>
    <row r="7">
      <c r="A7" s="7" t="inlineStr">
        <is>
          <t>Level spend (% of cap)</t>
        </is>
      </c>
      <c r="B7" s="9" t="n">
        <v>0.8</v>
      </c>
      <c r="C7" s="7" t="inlineStr">
        <is>
          <t>Breakthrough spends 80% of cap (gates 100%)</t>
        </is>
      </c>
    </row>
    <row r="8">
      <c r="A8" s="7" t="inlineStr">
        <is>
          <t>Cap factor (cap = factor × work)</t>
        </is>
      </c>
      <c r="B8" s="8" t="n">
        <v>0.76</v>
      </c>
      <c r="C8" s="7" t="inlineStr">
        <is>
          <t>03-Economy cap(R,L) = 0.76 × work</t>
        </is>
      </c>
    </row>
    <row r="9">
      <c r="A9" s="7" t="inlineStr">
        <is>
          <t>Peak cap multiplier (level 9)</t>
        </is>
      </c>
      <c r="B9" s="10" t="n">
        <v>1.6</v>
      </c>
      <c r="C9" s="7" t="inlineStr">
        <is>
          <t>cap(R,9) = 1.6 × cap(R,8)</t>
        </is>
      </c>
    </row>
    <row r="10">
      <c r="A10" s="7" t="inlineStr">
        <is>
          <t>Effective hours per day</t>
        </is>
      </c>
      <c r="B10" s="11" t="n">
        <v>12</v>
      </c>
      <c r="C10" s="7" t="inlineStr">
        <is>
          <t>Online + offline within the 8 h cap, 3–6 check-ins</t>
        </is>
      </c>
    </row>
    <row r="11">
      <c r="A11" s="7" t="inlineStr">
        <is>
          <t>Meditate share</t>
        </is>
      </c>
      <c r="B11" s="12" t="n">
        <v>0.4</v>
      </c>
      <c r="C11" s="7" t="inlineStr">
        <is>
          <t>Activity split assumption (03-Economy)</t>
        </is>
      </c>
    </row>
    <row r="12">
      <c r="A12" s="7" t="inlineStr">
        <is>
          <t>Train share</t>
        </is>
      </c>
      <c r="B12" s="12" t="n">
        <v>0.3</v>
      </c>
      <c r="C12" s="7" t="inlineStr">
        <is>
          <t>Activity split assumption</t>
        </is>
      </c>
    </row>
    <row r="13">
      <c r="A13" s="7" t="inlineStr">
        <is>
          <t>Battle share</t>
        </is>
      </c>
      <c r="B13" s="13">
        <f>1-B11-B12</f>
        <v/>
      </c>
      <c r="C13" s="7" t="inlineStr">
        <is>
          <t>Remainder</t>
        </is>
      </c>
    </row>
    <row r="14">
      <c r="A14" s="7" t="inlineStr">
        <is>
          <t>Base regen (% of full rate)</t>
        </is>
      </c>
      <c r="B14" s="9" t="n">
        <v>0.1</v>
      </c>
      <c r="C14" s="7" t="inlineStr">
        <is>
          <t>Always on; refills only, never grows max</t>
        </is>
      </c>
    </row>
    <row r="15">
      <c r="A15" s="7" t="inlineStr">
        <is>
          <t>Offline combat efficiency</t>
        </is>
      </c>
      <c r="B15" s="9" t="n">
        <v>0.8</v>
      </c>
      <c r="C15" s="7" t="inlineStr">
        <is>
          <t>Decision #8</t>
        </is>
      </c>
    </row>
    <row r="16">
      <c r="A16" s="7" t="inlineStr">
        <is>
          <t>Body stage rate step</t>
        </is>
      </c>
      <c r="B16" s="14" t="n">
        <v>4</v>
      </c>
      <c r="C16" s="7" t="inlineStr">
        <is>
          <t>Tempering rate × 4 per body stage</t>
        </is>
      </c>
    </row>
    <row r="17">
      <c r="A17" s="7" t="inlineStr">
        <is>
          <t>Achievement Qi bonus at 100%</t>
        </is>
      </c>
      <c r="B17" s="9" t="n">
        <v>3</v>
      </c>
      <c r="C17" s="7" t="inlineStr">
        <is>
          <t>Decision #62: +300% total</t>
        </is>
      </c>
    </row>
    <row r="18">
      <c r="A18" s="7" t="inlineStr">
        <is>
          <t>Stone income growth per tier (T5+)</t>
        </is>
      </c>
      <c r="B18" s="14" t="n">
        <v>7</v>
      </c>
      <c r="C18" s="7" t="inlineStr">
        <is>
          <t>03-Economy: ×7 per tier from SF</t>
        </is>
      </c>
    </row>
    <row r="19">
      <c r="A19" s="7" t="inlineStr">
        <is>
          <t>Target upkeep share of income</t>
        </is>
      </c>
      <c r="B19" s="9" t="n">
        <v>0.12</v>
      </c>
      <c r="C19" s="7" t="inlineStr">
        <is>
          <t>15-Cultivation-Grounds: about 10–15%</t>
        </is>
      </c>
    </row>
    <row r="20"/>
    <row r="21">
      <c r="A21" s="6" t="inlineStr">
        <is>
          <t>Mortal Plane realms</t>
        </is>
      </c>
    </row>
    <row r="22">
      <c r="A22" s="15" t="inlineStr">
        <is>
          <t>Idx</t>
        </is>
      </c>
      <c r="B22" s="15" t="inlineStr">
        <is>
          <t>Realm</t>
        </is>
      </c>
      <c r="C22" s="15" t="inlineStr">
        <is>
          <t>Abbrev</t>
        </is>
      </c>
      <c r="D22" s="15" t="inlineStr">
        <is>
          <t>Tier</t>
        </is>
      </c>
      <c r="E22" s="15" t="inlineStr">
        <is>
          <t>BASE (L1 work)</t>
        </is>
      </c>
      <c r="F22" s="15" t="inlineStr">
        <is>
          <t>REALM_RATE</t>
        </is>
      </c>
      <c r="G22" s="15" t="inlineStr">
        <is>
          <t>Target reach day</t>
        </is>
      </c>
      <c r="H22" s="15" t="inlineStr">
        <is>
          <t>REALM_GAIN</t>
        </is>
      </c>
      <c r="I22" s="15" t="inlineStr">
        <is>
          <t>Qi Karma add</t>
        </is>
      </c>
      <c r="J22" s="15" t="inlineStr">
        <is>
          <t>EXT override (blank = use EXT_Budget)</t>
        </is>
      </c>
    </row>
    <row r="23">
      <c r="A23" s="7" t="n">
        <v>1</v>
      </c>
      <c r="B23" s="7" t="inlineStr">
        <is>
          <t>Meridian Opening</t>
        </is>
      </c>
      <c r="C23" s="7" t="inlineStr">
        <is>
          <t>MO</t>
        </is>
      </c>
      <c r="D23" s="7" t="inlineStr">
        <is>
          <t>T1</t>
        </is>
      </c>
      <c r="E23" s="16" t="n">
        <v>15</v>
      </c>
      <c r="F23" s="17" t="n">
        <v>0.6</v>
      </c>
      <c r="G23" s="8" t="n">
        <v>0</v>
      </c>
      <c r="H23" s="10" t="n">
        <v>0</v>
      </c>
      <c r="I23" s="14" t="n">
        <v>0</v>
      </c>
      <c r="J23" s="8" t="n"/>
    </row>
    <row r="24">
      <c r="A24" s="7" t="n">
        <v>2</v>
      </c>
      <c r="B24" s="7" t="inlineStr">
        <is>
          <t>Qi Condensation</t>
        </is>
      </c>
      <c r="C24" s="7" t="inlineStr">
        <is>
          <t>QC</t>
        </is>
      </c>
      <c r="D24" s="7" t="inlineStr">
        <is>
          <t>T1</t>
        </is>
      </c>
      <c r="E24" s="16" t="n">
        <v>50</v>
      </c>
      <c r="F24" s="17" t="n">
        <v>1</v>
      </c>
      <c r="G24" s="8" t="n">
        <v>0.02</v>
      </c>
      <c r="H24" s="10" t="n">
        <v>0</v>
      </c>
      <c r="I24" s="14" t="n">
        <v>0</v>
      </c>
      <c r="J24" s="8" t="n"/>
    </row>
    <row r="25">
      <c r="A25" s="7" t="n">
        <v>3</v>
      </c>
      <c r="B25" s="7" t="inlineStr">
        <is>
          <t>Qi Sea</t>
        </is>
      </c>
      <c r="C25" s="7" t="inlineStr">
        <is>
          <t>QS</t>
        </is>
      </c>
      <c r="D25" s="7" t="inlineStr">
        <is>
          <t>T1</t>
        </is>
      </c>
      <c r="E25" s="16" t="n">
        <v>250</v>
      </c>
      <c r="F25" s="17" t="n">
        <v>2</v>
      </c>
      <c r="G25" s="8" t="n">
        <v>0.06</v>
      </c>
      <c r="H25" s="10" t="n">
        <v>0</v>
      </c>
      <c r="I25" s="14" t="n">
        <v>0</v>
      </c>
      <c r="J25" s="8" t="n"/>
    </row>
    <row r="26">
      <c r="A26" s="7" t="n">
        <v>4</v>
      </c>
      <c r="B26" s="7" t="inlineStr">
        <is>
          <t>Foundation Establishment</t>
        </is>
      </c>
      <c r="C26" s="7" t="inlineStr">
        <is>
          <t>FE</t>
        </is>
      </c>
      <c r="D26" s="7" t="inlineStr">
        <is>
          <t>T2</t>
        </is>
      </c>
      <c r="E26" s="16" t="n">
        <v>12000</v>
      </c>
      <c r="F26" s="17" t="n">
        <v>5</v>
      </c>
      <c r="G26" s="8" t="n">
        <v>0.2</v>
      </c>
      <c r="H26" s="10" t="n">
        <v>0</v>
      </c>
      <c r="I26" s="14" t="n">
        <v>0</v>
      </c>
      <c r="J26" s="8" t="n"/>
    </row>
    <row r="27">
      <c r="A27" s="7" t="n">
        <v>5</v>
      </c>
      <c r="B27" s="7" t="inlineStr">
        <is>
          <t>Golden Core</t>
        </is>
      </c>
      <c r="C27" s="7" t="inlineStr">
        <is>
          <t>GC</t>
        </is>
      </c>
      <c r="D27" s="7" t="inlineStr">
        <is>
          <t>T3</t>
        </is>
      </c>
      <c r="E27" s="16" t="n">
        <v>400000</v>
      </c>
      <c r="F27" s="17" t="n">
        <v>25</v>
      </c>
      <c r="G27" s="8" t="n">
        <v>1</v>
      </c>
      <c r="H27" s="10" t="n">
        <v>0.5</v>
      </c>
      <c r="I27" s="14" t="n">
        <v>2</v>
      </c>
      <c r="J27" s="8" t="n"/>
    </row>
    <row r="28">
      <c r="A28" s="7" t="n">
        <v>6</v>
      </c>
      <c r="B28" s="7" t="inlineStr">
        <is>
          <t>Nascent Soul</t>
        </is>
      </c>
      <c r="C28" s="7" t="inlineStr">
        <is>
          <t>NS</t>
        </is>
      </c>
      <c r="D28" s="7" t="inlineStr">
        <is>
          <t>T4</t>
        </is>
      </c>
      <c r="E28" s="18" t="n">
        <v>13000000</v>
      </c>
      <c r="F28" s="17" t="n">
        <v>125</v>
      </c>
      <c r="G28" s="8" t="n">
        <v>5</v>
      </c>
      <c r="H28" s="10" t="n">
        <v>1</v>
      </c>
      <c r="I28" s="14" t="n">
        <v>3</v>
      </c>
      <c r="J28" s="8" t="n"/>
    </row>
    <row r="29">
      <c r="A29" s="7" t="n">
        <v>7</v>
      </c>
      <c r="B29" s="7" t="inlineStr">
        <is>
          <t>Soul Formation</t>
        </is>
      </c>
      <c r="C29" s="7" t="inlineStr">
        <is>
          <t>SF</t>
        </is>
      </c>
      <c r="D29" s="7" t="inlineStr">
        <is>
          <t>T5</t>
        </is>
      </c>
      <c r="E29" s="18" t="n">
        <v>130000000</v>
      </c>
      <c r="F29" s="17" t="n">
        <v>625</v>
      </c>
      <c r="G29" s="8" t="n">
        <v>21</v>
      </c>
      <c r="H29" s="10" t="n">
        <v>2</v>
      </c>
      <c r="I29" s="14" t="n">
        <v>4</v>
      </c>
      <c r="J29" s="8" t="n"/>
    </row>
    <row r="30">
      <c r="A30" s="7" t="n">
        <v>8</v>
      </c>
      <c r="B30" s="7" t="inlineStr">
        <is>
          <t>Void Breaking</t>
        </is>
      </c>
      <c r="C30" s="7" t="inlineStr">
        <is>
          <t>VB</t>
        </is>
      </c>
      <c r="D30" s="7" t="inlineStr">
        <is>
          <t>T6</t>
        </is>
      </c>
      <c r="E30" s="18" t="n">
        <v>1600000000</v>
      </c>
      <c r="F30" s="17" t="n">
        <v>3125</v>
      </c>
      <c r="G30" s="8" t="n">
        <v>40</v>
      </c>
      <c r="H30" s="10" t="n">
        <v>4</v>
      </c>
      <c r="I30" s="14" t="n">
        <v>5</v>
      </c>
      <c r="J30" s="8" t="n"/>
    </row>
    <row r="31">
      <c r="A31" s="7" t="n">
        <v>9</v>
      </c>
      <c r="B31" s="7" t="inlineStr">
        <is>
          <t>Mahayana</t>
        </is>
      </c>
      <c r="C31" s="7" t="inlineStr">
        <is>
          <t>MA</t>
        </is>
      </c>
      <c r="D31" s="7" t="inlineStr">
        <is>
          <t>T7</t>
        </is>
      </c>
      <c r="E31" s="18" t="n">
        <v>27000000000</v>
      </c>
      <c r="F31" s="17" t="n">
        <v>15625</v>
      </c>
      <c r="G31" s="8" t="n">
        <v>65</v>
      </c>
      <c r="H31" s="10" t="n">
        <v>8</v>
      </c>
      <c r="I31" s="14" t="n">
        <v>6</v>
      </c>
      <c r="J31" s="8" t="n"/>
    </row>
    <row r="32">
      <c r="A32" s="7" t="n">
        <v>10</v>
      </c>
      <c r="B32" s="7" t="inlineStr">
        <is>
          <t>Great Ascension</t>
        </is>
      </c>
      <c r="C32" s="7" t="inlineStr">
        <is>
          <t>GA</t>
        </is>
      </c>
      <c r="D32" s="7" t="inlineStr">
        <is>
          <t>T8–T9</t>
        </is>
      </c>
      <c r="E32" s="18" t="n">
        <v>460000000000</v>
      </c>
      <c r="F32" s="17" t="n">
        <v>78125</v>
      </c>
      <c r="G32" s="8" t="n">
        <v>110</v>
      </c>
      <c r="H32" s="10" t="n">
        <v>16</v>
      </c>
      <c r="I32" s="14" t="n">
        <v>7</v>
      </c>
      <c r="J32" s="8" t="n"/>
    </row>
    <row r="33">
      <c r="B33" s="7" t="inlineStr">
        <is>
          <t>Ascension (GA complete)</t>
        </is>
      </c>
      <c r="C33" s="7" t="inlineStr">
        <is>
          <t>ASC</t>
        </is>
      </c>
      <c r="G33" s="14" t="n">
        <v>180</v>
      </c>
    </row>
    <row r="34">
      <c r="A34" s="7" t="inlineStr">
        <is>
          <t>Target days: content/00-Registry.md (first life, 40/30/30 split). REALM_GAIN and Karma: 03-Economy / content/12-Rebirth.</t>
        </is>
      </c>
    </row>
    <row r="35"/>
    <row r="36">
      <c r="A36" s="6" t="inlineStr">
        <is>
          <t>Body stages</t>
        </is>
      </c>
    </row>
    <row r="37">
      <c r="A37" s="15" t="inlineStr">
        <is>
          <t>Idx</t>
        </is>
      </c>
      <c r="B37" s="15" t="inlineStr">
        <is>
          <t>Stage</t>
        </is>
      </c>
      <c r="C37" s="15" t="inlineStr">
        <is>
          <t>BODY_BASE (L1 work)</t>
        </is>
      </c>
      <c r="D37" s="15" t="inlineStr">
        <is>
          <t>EXT_body</t>
        </is>
      </c>
      <c r="E37" s="15" t="inlineStr">
        <is>
          <t>Target completion day</t>
        </is>
      </c>
      <c r="F37" s="15" t="inlineStr">
        <is>
          <t>STAGE_GAIN</t>
        </is>
      </c>
      <c r="G37" s="15" t="inlineStr">
        <is>
          <t>Body Karma add</t>
        </is>
      </c>
    </row>
    <row r="38">
      <c r="A38" s="7" t="n">
        <v>1</v>
      </c>
      <c r="B38" s="7" t="inlineStr">
        <is>
          <t>Copper Skin</t>
        </is>
      </c>
      <c r="C38" s="16" t="n">
        <v>400</v>
      </c>
      <c r="D38" s="10" t="n">
        <v>1</v>
      </c>
      <c r="E38" s="14" t="n">
        <v>0.4</v>
      </c>
      <c r="F38" s="10" t="n">
        <v>0</v>
      </c>
      <c r="G38" s="14" t="n">
        <v>0</v>
      </c>
    </row>
    <row r="39">
      <c r="A39" s="7" t="n">
        <v>2</v>
      </c>
      <c r="B39" s="7" t="inlineStr">
        <is>
          <t>Iron Bone</t>
        </is>
      </c>
      <c r="C39" s="16" t="n">
        <v>12500</v>
      </c>
      <c r="D39" s="10" t="n">
        <v>1.5</v>
      </c>
      <c r="E39" s="14" t="n">
        <v>2.5</v>
      </c>
      <c r="F39" s="10" t="n">
        <v>0.5</v>
      </c>
      <c r="G39" s="14" t="n">
        <v>1</v>
      </c>
    </row>
    <row r="40">
      <c r="A40" s="7" t="n">
        <v>3</v>
      </c>
      <c r="B40" s="7" t="inlineStr">
        <is>
          <t>Silver Marrow</t>
        </is>
      </c>
      <c r="C40" s="16" t="n">
        <v>300000</v>
      </c>
      <c r="D40" s="10" t="n">
        <v>2.5</v>
      </c>
      <c r="E40" s="14" t="n">
        <v>11</v>
      </c>
      <c r="F40" s="10" t="n">
        <v>1</v>
      </c>
      <c r="G40" s="14" t="n">
        <v>2</v>
      </c>
    </row>
    <row r="41">
      <c r="A41" s="7" t="n">
        <v>4</v>
      </c>
      <c r="B41" s="7" t="inlineStr">
        <is>
          <t>Jade Flesh</t>
        </is>
      </c>
      <c r="C41" s="16" t="n">
        <v>4700000</v>
      </c>
      <c r="D41" s="10" t="n">
        <v>4</v>
      </c>
      <c r="E41" s="14" t="n">
        <v>30</v>
      </c>
      <c r="F41" s="10" t="n">
        <v>2</v>
      </c>
      <c r="G41" s="14" t="n">
        <v>3</v>
      </c>
    </row>
    <row r="42">
      <c r="A42" s="7" t="n">
        <v>5</v>
      </c>
      <c r="B42" s="7" t="inlineStr">
        <is>
          <t>Golden Body</t>
        </is>
      </c>
      <c r="C42" s="18" t="n">
        <v>77000000</v>
      </c>
      <c r="D42" s="10" t="n">
        <v>6</v>
      </c>
      <c r="E42" s="14" t="n">
        <v>72</v>
      </c>
      <c r="F42" s="10" t="n">
        <v>4</v>
      </c>
      <c r="G42" s="14" t="n">
        <v>4</v>
      </c>
    </row>
    <row r="43">
      <c r="A43" s="7" t="n">
        <v>6</v>
      </c>
      <c r="B43" s="7" t="inlineStr">
        <is>
          <t>Diamond Vajra Body</t>
        </is>
      </c>
      <c r="C43" s="18" t="n">
        <v>840000000</v>
      </c>
      <c r="D43" s="10" t="n">
        <v>9</v>
      </c>
      <c r="E43" s="14" t="n">
        <v>155</v>
      </c>
      <c r="F43" s="10" t="n">
        <v>8</v>
      </c>
      <c r="G43" s="14" t="n">
        <v>5</v>
      </c>
    </row>
    <row r="44">
      <c r="A44" s="7" t="n">
        <v>7</v>
      </c>
      <c r="B44" s="7" t="inlineStr">
        <is>
          <t>Immortal Body</t>
        </is>
      </c>
      <c r="C44" s="18" t="n">
        <v>5500000000</v>
      </c>
      <c r="D44" s="10" t="n">
        <v>13</v>
      </c>
      <c r="E44" s="14" t="n">
        <v>250</v>
      </c>
      <c r="F44" s="10" t="n">
        <v>16</v>
      </c>
      <c r="G44" s="14" t="n">
        <v>6</v>
      </c>
    </row>
    <row r="45">
      <c r="A45" s="7" t="inlineStr">
        <is>
          <t>Targets: content/02-Body.md. EXT_body = baths, Ring, Training Ground, mastery (assumed).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</cols>
  <sheetData>
    <row r="1">
      <c r="A1" s="5" t="inlineStr">
        <is>
          <t>EXT budget: what actually multiplies Qi rate in each realm</t>
        </is>
      </c>
    </row>
    <row r="2"/>
    <row r="3">
      <c r="A3" s="15" t="inlineStr">
        <is>
          <t>Realm</t>
        </is>
      </c>
      <c r="B3" s="15" t="inlineStr">
        <is>
          <t>Best Meditation ground ×</t>
        </is>
      </c>
      <c r="C3" s="15" t="inlineStr">
        <is>
          <t>Typical Talisman Qi ×</t>
        </is>
      </c>
      <c r="D3" s="15" t="inlineStr">
        <is>
          <t>Cultivation method ×</t>
        </is>
      </c>
      <c r="E3" s="15" t="inlineStr">
        <is>
          <t>Achievements earned (share of total)</t>
        </is>
      </c>
      <c r="F3" s="15" t="inlineStr">
        <is>
          <t>Element match ×</t>
        </is>
      </c>
      <c r="G3" s="15" t="inlineStr">
        <is>
          <t>Achievement ×</t>
        </is>
      </c>
      <c r="H3" s="15" t="inlineStr">
        <is>
          <t>Computed EXT</t>
        </is>
      </c>
      <c r="I3" s="15" t="inlineStr">
        <is>
          <t>Old doc EXT</t>
        </is>
      </c>
      <c r="J3" s="15" t="inlineStr">
        <is>
          <t>Computed ÷ doc</t>
        </is>
      </c>
      <c r="K3" s="15" t="inlineStr">
        <is>
          <t>EXT used in pacing</t>
        </is>
      </c>
    </row>
    <row r="4">
      <c r="A4" s="19">
        <f>Inputs!C23</f>
        <v/>
      </c>
      <c r="B4" s="8" t="n">
        <v>1</v>
      </c>
      <c r="C4" s="8" t="n">
        <v>1</v>
      </c>
      <c r="D4" s="8" t="n">
        <v>1</v>
      </c>
      <c r="E4" s="20" t="n">
        <v>0</v>
      </c>
      <c r="F4" s="8" t="n">
        <v>1</v>
      </c>
      <c r="G4" s="21">
        <f>1+E4*Inputs!$B$17</f>
        <v/>
      </c>
      <c r="H4" s="21">
        <f>B4*C4*D4*G4*F4</f>
        <v/>
      </c>
      <c r="I4" s="8" t="n">
        <v>1</v>
      </c>
      <c r="J4" s="21">
        <f>IF(I4="","",H4/I4)</f>
        <v/>
      </c>
      <c r="K4" s="21">
        <f>IF(Inputs!J23="",H4,Inputs!J23)</f>
        <v/>
      </c>
    </row>
    <row r="5">
      <c r="A5" s="19">
        <f>Inputs!C24</f>
        <v/>
      </c>
      <c r="B5" s="8" t="n">
        <v>1.1</v>
      </c>
      <c r="C5" s="8" t="n">
        <v>1.05</v>
      </c>
      <c r="D5" s="8" t="n">
        <v>1</v>
      </c>
      <c r="E5" s="20" t="n">
        <v>0</v>
      </c>
      <c r="F5" s="8" t="n">
        <v>1</v>
      </c>
      <c r="G5" s="21">
        <f>1+E5*Inputs!$B$17</f>
        <v/>
      </c>
      <c r="H5" s="21">
        <f>B5*C5*D5*G5*F5</f>
        <v/>
      </c>
      <c r="I5" s="8" t="n">
        <v>1</v>
      </c>
      <c r="J5" s="21">
        <f>IF(I5="","",H5/I5)</f>
        <v/>
      </c>
      <c r="K5" s="21">
        <f>IF(Inputs!J24="",H5,Inputs!J24)</f>
        <v/>
      </c>
    </row>
    <row r="6">
      <c r="A6" s="19">
        <f>Inputs!C25</f>
        <v/>
      </c>
      <c r="B6" s="8" t="n">
        <v>1.1</v>
      </c>
      <c r="C6" s="8" t="n">
        <v>1.06</v>
      </c>
      <c r="D6" s="8" t="n">
        <v>1</v>
      </c>
      <c r="E6" s="20" t="n">
        <v>0.003</v>
      </c>
      <c r="F6" s="8" t="n">
        <v>1</v>
      </c>
      <c r="G6" s="21">
        <f>1+E6*Inputs!$B$17</f>
        <v/>
      </c>
      <c r="H6" s="21">
        <f>B6*C6*D6*G6*F6</f>
        <v/>
      </c>
      <c r="I6" s="8" t="n">
        <v>1</v>
      </c>
      <c r="J6" s="21">
        <f>IF(I6="","",H6/I6)</f>
        <v/>
      </c>
      <c r="K6" s="21">
        <f>IF(Inputs!J25="",H6,Inputs!J25)</f>
        <v/>
      </c>
    </row>
    <row r="7">
      <c r="A7" s="19">
        <f>Inputs!C26</f>
        <v/>
      </c>
      <c r="B7" s="8" t="n">
        <v>1.25</v>
      </c>
      <c r="C7" s="8" t="n">
        <v>1.17</v>
      </c>
      <c r="D7" s="8" t="n">
        <v>1.2</v>
      </c>
      <c r="E7" s="20" t="n">
        <v>0.01</v>
      </c>
      <c r="F7" s="8" t="n">
        <v>1.1</v>
      </c>
      <c r="G7" s="21">
        <f>1+E7*Inputs!$B$17</f>
        <v/>
      </c>
      <c r="H7" s="21">
        <f>B7*C7*D7*G7*F7</f>
        <v/>
      </c>
      <c r="I7" s="8" t="n">
        <v>1.5</v>
      </c>
      <c r="J7" s="21">
        <f>IF(I7="","",H7/I7)</f>
        <v/>
      </c>
      <c r="K7" s="21">
        <f>IF(Inputs!J26="",H7,Inputs!J26)</f>
        <v/>
      </c>
    </row>
    <row r="8">
      <c r="A8" s="19">
        <f>Inputs!C27</f>
        <v/>
      </c>
      <c r="B8" s="8" t="n">
        <v>1.4</v>
      </c>
      <c r="C8" s="8" t="n">
        <v>1.31</v>
      </c>
      <c r="D8" s="8" t="n">
        <v>1.35</v>
      </c>
      <c r="E8" s="20" t="n">
        <v>0.02</v>
      </c>
      <c r="F8" s="8" t="n">
        <v>1.1</v>
      </c>
      <c r="G8" s="21">
        <f>1+E8*Inputs!$B$17</f>
        <v/>
      </c>
      <c r="H8" s="21">
        <f>B8*C8*D8*G8*F8</f>
        <v/>
      </c>
      <c r="I8" s="8" t="n">
        <v>2.5</v>
      </c>
      <c r="J8" s="21">
        <f>IF(I8="","",H8/I8)</f>
        <v/>
      </c>
      <c r="K8" s="21">
        <f>IF(Inputs!J27="",H8,Inputs!J27)</f>
        <v/>
      </c>
    </row>
    <row r="9">
      <c r="A9" s="19">
        <f>Inputs!C28</f>
        <v/>
      </c>
      <c r="B9" s="8" t="n">
        <v>1.65</v>
      </c>
      <c r="C9" s="8" t="n">
        <v>1.4</v>
      </c>
      <c r="D9" s="8" t="n">
        <v>1.5</v>
      </c>
      <c r="E9" s="20" t="n">
        <v>0.04</v>
      </c>
      <c r="F9" s="8" t="n">
        <v>1.1</v>
      </c>
      <c r="G9" s="21">
        <f>1+E9*Inputs!$B$17</f>
        <v/>
      </c>
      <c r="H9" s="21">
        <f>B9*C9*D9*G9*F9</f>
        <v/>
      </c>
      <c r="I9" s="8" t="n">
        <v>4</v>
      </c>
      <c r="J9" s="21">
        <f>IF(I9="","",H9/I9)</f>
        <v/>
      </c>
      <c r="K9" s="21">
        <f>IF(Inputs!J28="",H9,Inputs!J28)</f>
        <v/>
      </c>
    </row>
    <row r="10">
      <c r="A10" s="19">
        <f>Inputs!C29</f>
        <v/>
      </c>
      <c r="B10" s="8" t="n">
        <v>2.05</v>
      </c>
      <c r="C10" s="8" t="n">
        <v>1.57</v>
      </c>
      <c r="D10" s="8" t="n">
        <v>1.7</v>
      </c>
      <c r="E10" s="20" t="n">
        <v>0.1</v>
      </c>
      <c r="F10" s="8" t="n">
        <v>1.1</v>
      </c>
      <c r="G10" s="21">
        <f>1+E10*Inputs!$B$17</f>
        <v/>
      </c>
      <c r="H10" s="21">
        <f>B10*C10*D10*G10*F10</f>
        <v/>
      </c>
      <c r="I10" s="8" t="n"/>
      <c r="J10" s="21">
        <f>IF(I10="","",H10/I10)</f>
        <v/>
      </c>
      <c r="K10" s="21">
        <f>IF(Inputs!J29="",H10,Inputs!J29)</f>
        <v/>
      </c>
    </row>
    <row r="11">
      <c r="A11" s="19">
        <f>Inputs!C30</f>
        <v/>
      </c>
      <c r="B11" s="8" t="n">
        <v>2.3</v>
      </c>
      <c r="C11" s="8" t="n">
        <v>1.7</v>
      </c>
      <c r="D11" s="8" t="n">
        <v>2</v>
      </c>
      <c r="E11" s="20" t="n">
        <v>0.2</v>
      </c>
      <c r="F11" s="8" t="n">
        <v>1.1</v>
      </c>
      <c r="G11" s="21">
        <f>1+E11*Inputs!$B$17</f>
        <v/>
      </c>
      <c r="H11" s="21">
        <f>B11*C11*D11*G11*F11</f>
        <v/>
      </c>
      <c r="I11" s="8" t="n"/>
      <c r="J11" s="21">
        <f>IF(I11="","",H11/I11)</f>
        <v/>
      </c>
      <c r="K11" s="21">
        <f>IF(Inputs!J30="",H11,Inputs!J30)</f>
        <v/>
      </c>
    </row>
    <row r="12">
      <c r="A12" s="19">
        <f>Inputs!C31</f>
        <v/>
      </c>
      <c r="B12" s="8" t="n">
        <v>2.85</v>
      </c>
      <c r="C12" s="8" t="n">
        <v>1.85</v>
      </c>
      <c r="D12" s="8" t="n">
        <v>2.3</v>
      </c>
      <c r="E12" s="20" t="n">
        <v>0.33</v>
      </c>
      <c r="F12" s="8" t="n">
        <v>1.1</v>
      </c>
      <c r="G12" s="21">
        <f>1+E12*Inputs!$B$17</f>
        <v/>
      </c>
      <c r="H12" s="21">
        <f>B12*C12*D12*G12*F12</f>
        <v/>
      </c>
      <c r="I12" s="8" t="n"/>
      <c r="J12" s="21">
        <f>IF(I12="","",H12/I12)</f>
        <v/>
      </c>
      <c r="K12" s="21">
        <f>IF(Inputs!J31="",H12,Inputs!J31)</f>
        <v/>
      </c>
    </row>
    <row r="13">
      <c r="A13" s="19">
        <f>Inputs!C32</f>
        <v/>
      </c>
      <c r="B13" s="8" t="n">
        <v>3.6</v>
      </c>
      <c r="C13" s="8" t="n">
        <v>2</v>
      </c>
      <c r="D13" s="8" t="n">
        <v>2.6</v>
      </c>
      <c r="E13" s="20" t="n">
        <v>0.6</v>
      </c>
      <c r="F13" s="8" t="n">
        <v>1.1</v>
      </c>
      <c r="G13" s="21">
        <f>1+E13*Inputs!$B$17</f>
        <v/>
      </c>
      <c r="H13" s="21">
        <f>B13*C13*D13*G13*F13</f>
        <v/>
      </c>
      <c r="I13" s="8" t="n"/>
      <c r="J13" s="21">
        <f>IF(I13="","",H13/I13)</f>
        <v/>
      </c>
      <c r="K13" s="21">
        <f>IF(Inputs!J32="",H13,Inputs!J32)</f>
        <v/>
      </c>
    </row>
    <row r="14"/>
    <row r="15" ht="30" customHeight="1">
      <c r="A15" s="4" t="inlineStr">
        <is>
          <t>Sources: grounds from content/15-Cultivation-Grounds (best site usable mid-realm); Talisman = typical rarity for the realm from 02-Systems §4 accessory ranges; method = 06-Techniques progression (assumed); achievements = assumed share of the +300% total earned by that realm; element match +10% from FE.</t>
        </is>
      </c>
    </row>
    <row r="16"/>
  </sheetData>
  <mergeCells count="1">
    <mergeCell ref="A15:K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  <col width="13" customWidth="1" min="14" max="14"/>
  </cols>
  <sheetData>
    <row r="1">
      <c r="A1" s="5" t="inlineStr">
        <is>
          <t>Qi pacing (Vessel Model, Meditate time)</t>
        </is>
      </c>
    </row>
    <row r="2"/>
    <row r="3">
      <c r="A3" s="15" t="inlineStr">
        <is>
          <t>Key</t>
        </is>
      </c>
      <c r="B3" s="15" t="inlineStr">
        <is>
          <t>Idx</t>
        </is>
      </c>
      <c r="C3" s="15" t="inlineStr">
        <is>
          <t>Level</t>
        </is>
      </c>
      <c r="D3" s="15" t="inlineStr">
        <is>
          <t>Rate /s</t>
        </is>
      </c>
      <c r="E3" s="15" t="inlineStr">
        <is>
          <t>Work</t>
        </is>
      </c>
      <c r="F3" s="15" t="inlineStr">
        <is>
          <t>Cap (max at level end)</t>
        </is>
      </c>
      <c r="G3" s="15" t="inlineStr">
        <is>
          <t>Start max</t>
        </is>
      </c>
      <c r="H3" s="15" t="inlineStr">
        <is>
          <t>Refill amount</t>
        </is>
      </c>
      <c r="I3" s="15" t="inlineStr">
        <is>
          <t>Refill h</t>
        </is>
      </c>
      <c r="J3" s="15" t="inlineStr">
        <is>
          <t>Growth h</t>
        </is>
      </c>
      <c r="K3" s="15" t="inlineStr">
        <is>
          <t>Level h</t>
        </is>
      </c>
      <c r="L3" s="15" t="inlineStr">
        <is>
          <t>Cumulative h</t>
        </is>
      </c>
      <c r="M3" s="15" t="inlineStr">
        <is>
          <t>Day (end of level)</t>
        </is>
      </c>
      <c r="N3" s="15" t="inlineStr">
        <is>
          <t>Day (level reached)</t>
        </is>
      </c>
    </row>
    <row r="4">
      <c r="A4" s="19">
        <f>Inputs!$C$23&amp;" 1"</f>
        <v/>
      </c>
      <c r="B4" s="7" t="n">
        <v>1</v>
      </c>
      <c r="C4" s="7" t="n">
        <v>1</v>
      </c>
      <c r="D4" s="22">
        <f>INDEX(Inputs!$F$23:$F$32,B4)*Inputs!$B$5^(C4-1)*INDEX(EXT_Budget!$K$4:$K$13,B4)</f>
        <v/>
      </c>
      <c r="E4" s="23">
        <f>INDEX(Inputs!$E$23:$E$32,B4)*Inputs!$B$4^(C4-1)</f>
        <v/>
      </c>
      <c r="F4" s="23">
        <f>IF(C4&lt;9,Inputs!$B$8*E4,Inputs!$B$9*Inputs!$B$8*INDEX(Inputs!$E$23:$E$32,B4)*Inputs!$B$4^7)</f>
        <v/>
      </c>
      <c r="G4" s="23">
        <f>F4/Inputs!$B$4</f>
        <v/>
      </c>
      <c r="H4" s="23">
        <f>G4</f>
        <v/>
      </c>
      <c r="I4" s="24">
        <f>H4/D4/3600</f>
        <v/>
      </c>
      <c r="J4" s="24">
        <f>(F4-G4)/(Inputs!$B$6*D4)/3600</f>
        <v/>
      </c>
      <c r="K4" s="24">
        <f>I4+J4</f>
        <v/>
      </c>
      <c r="L4" s="22">
        <f>K4</f>
        <v/>
      </c>
      <c r="M4" s="25">
        <f>L4/(Inputs!$B$10*Inputs!$B$11)</f>
        <v/>
      </c>
      <c r="N4" s="21">
        <f>(L4-K4)/(Inputs!$B$10*Inputs!$B$11)</f>
        <v/>
      </c>
    </row>
    <row r="5">
      <c r="A5" s="19">
        <f>Inputs!$C$23&amp;" 2"</f>
        <v/>
      </c>
      <c r="B5" s="7" t="n">
        <v>1</v>
      </c>
      <c r="C5" s="7" t="n">
        <v>2</v>
      </c>
      <c r="D5" s="22">
        <f>INDEX(Inputs!$F$23:$F$32,B5)*Inputs!$B$5^(C5-1)*INDEX(EXT_Budget!$K$4:$K$13,B5)</f>
        <v/>
      </c>
      <c r="E5" s="23">
        <f>INDEX(Inputs!$E$23:$E$32,B5)*Inputs!$B$4^(C5-1)</f>
        <v/>
      </c>
      <c r="F5" s="23">
        <f>IF(C5&lt;9,Inputs!$B$8*E5,Inputs!$B$9*Inputs!$B$8*INDEX(Inputs!$E$23:$E$32,B5)*Inputs!$B$4^7)</f>
        <v/>
      </c>
      <c r="G5" s="23">
        <f>IF(C5=1,F5/Inputs!$B$4,F4)</f>
        <v/>
      </c>
      <c r="H5" s="23">
        <f>IF(C5=1,G5,Inputs!$B$7*F4)</f>
        <v/>
      </c>
      <c r="I5" s="24">
        <f>H5/D5/3600</f>
        <v/>
      </c>
      <c r="J5" s="24">
        <f>(F5-G5)/(Inputs!$B$6*D5)/3600</f>
        <v/>
      </c>
      <c r="K5" s="24">
        <f>I5+J5</f>
        <v/>
      </c>
      <c r="L5" s="22">
        <f>L4+K5</f>
        <v/>
      </c>
      <c r="M5" s="25">
        <f>L5/(Inputs!$B$10*Inputs!$B$11)</f>
        <v/>
      </c>
      <c r="N5" s="21">
        <f>(L5-K5)/(Inputs!$B$10*Inputs!$B$11)</f>
        <v/>
      </c>
    </row>
    <row r="6">
      <c r="A6" s="19">
        <f>Inputs!$C$23&amp;" 3"</f>
        <v/>
      </c>
      <c r="B6" s="7" t="n">
        <v>1</v>
      </c>
      <c r="C6" s="7" t="n">
        <v>3</v>
      </c>
      <c r="D6" s="22">
        <f>INDEX(Inputs!$F$23:$F$32,B6)*Inputs!$B$5^(C6-1)*INDEX(EXT_Budget!$K$4:$K$13,B6)</f>
        <v/>
      </c>
      <c r="E6" s="23">
        <f>INDEX(Inputs!$E$23:$E$32,B6)*Inputs!$B$4^(C6-1)</f>
        <v/>
      </c>
      <c r="F6" s="23">
        <f>IF(C6&lt;9,Inputs!$B$8*E6,Inputs!$B$9*Inputs!$B$8*INDEX(Inputs!$E$23:$E$32,B6)*Inputs!$B$4^7)</f>
        <v/>
      </c>
      <c r="G6" s="23">
        <f>IF(C6=1,F6/Inputs!$B$4,F5)</f>
        <v/>
      </c>
      <c r="H6" s="23">
        <f>IF(C6=1,G6,Inputs!$B$7*F5)</f>
        <v/>
      </c>
      <c r="I6" s="24">
        <f>H6/D6/3600</f>
        <v/>
      </c>
      <c r="J6" s="24">
        <f>(F6-G6)/(Inputs!$B$6*D6)/3600</f>
        <v/>
      </c>
      <c r="K6" s="24">
        <f>I6+J6</f>
        <v/>
      </c>
      <c r="L6" s="22">
        <f>L5+K6</f>
        <v/>
      </c>
      <c r="M6" s="25">
        <f>L6/(Inputs!$B$10*Inputs!$B$11)</f>
        <v/>
      </c>
      <c r="N6" s="21">
        <f>(L6-K6)/(Inputs!$B$10*Inputs!$B$11)</f>
        <v/>
      </c>
    </row>
    <row r="7">
      <c r="A7" s="19">
        <f>Inputs!$C$23&amp;" 4"</f>
        <v/>
      </c>
      <c r="B7" s="7" t="n">
        <v>1</v>
      </c>
      <c r="C7" s="7" t="n">
        <v>4</v>
      </c>
      <c r="D7" s="22">
        <f>INDEX(Inputs!$F$23:$F$32,B7)*Inputs!$B$5^(C7-1)*INDEX(EXT_Budget!$K$4:$K$13,B7)</f>
        <v/>
      </c>
      <c r="E7" s="23">
        <f>INDEX(Inputs!$E$23:$E$32,B7)*Inputs!$B$4^(C7-1)</f>
        <v/>
      </c>
      <c r="F7" s="23">
        <f>IF(C7&lt;9,Inputs!$B$8*E7,Inputs!$B$9*Inputs!$B$8*INDEX(Inputs!$E$23:$E$32,B7)*Inputs!$B$4^7)</f>
        <v/>
      </c>
      <c r="G7" s="23">
        <f>IF(C7=1,F7/Inputs!$B$4,F6)</f>
        <v/>
      </c>
      <c r="H7" s="23">
        <f>IF(C7=1,G7,Inputs!$B$7*F6)</f>
        <v/>
      </c>
      <c r="I7" s="24">
        <f>H7/D7/3600</f>
        <v/>
      </c>
      <c r="J7" s="24">
        <f>(F7-G7)/(Inputs!$B$6*D7)/3600</f>
        <v/>
      </c>
      <c r="K7" s="24">
        <f>I7+J7</f>
        <v/>
      </c>
      <c r="L7" s="22">
        <f>L6+K7</f>
        <v/>
      </c>
      <c r="M7" s="25">
        <f>L7/(Inputs!$B$10*Inputs!$B$11)</f>
        <v/>
      </c>
      <c r="N7" s="21">
        <f>(L7-K7)/(Inputs!$B$10*Inputs!$B$11)</f>
        <v/>
      </c>
    </row>
    <row r="8">
      <c r="A8" s="19">
        <f>Inputs!$C$23&amp;" 5"</f>
        <v/>
      </c>
      <c r="B8" s="7" t="n">
        <v>1</v>
      </c>
      <c r="C8" s="7" t="n">
        <v>5</v>
      </c>
      <c r="D8" s="22">
        <f>INDEX(Inputs!$F$23:$F$32,B8)*Inputs!$B$5^(C8-1)*INDEX(EXT_Budget!$K$4:$K$13,B8)</f>
        <v/>
      </c>
      <c r="E8" s="23">
        <f>INDEX(Inputs!$E$23:$E$32,B8)*Inputs!$B$4^(C8-1)</f>
        <v/>
      </c>
      <c r="F8" s="23">
        <f>IF(C8&lt;9,Inputs!$B$8*E8,Inputs!$B$9*Inputs!$B$8*INDEX(Inputs!$E$23:$E$32,B8)*Inputs!$B$4^7)</f>
        <v/>
      </c>
      <c r="G8" s="23">
        <f>IF(C8=1,F8/Inputs!$B$4,F7)</f>
        <v/>
      </c>
      <c r="H8" s="23">
        <f>IF(C8=1,G8,Inputs!$B$7*F7)</f>
        <v/>
      </c>
      <c r="I8" s="24">
        <f>H8/D8/3600</f>
        <v/>
      </c>
      <c r="J8" s="24">
        <f>(F8-G8)/(Inputs!$B$6*D8)/3600</f>
        <v/>
      </c>
      <c r="K8" s="24">
        <f>I8+J8</f>
        <v/>
      </c>
      <c r="L8" s="22">
        <f>L7+K8</f>
        <v/>
      </c>
      <c r="M8" s="25">
        <f>L8/(Inputs!$B$10*Inputs!$B$11)</f>
        <v/>
      </c>
      <c r="N8" s="21">
        <f>(L8-K8)/(Inputs!$B$10*Inputs!$B$11)</f>
        <v/>
      </c>
    </row>
    <row r="9">
      <c r="A9" s="19">
        <f>Inputs!$C$23&amp;" 6"</f>
        <v/>
      </c>
      <c r="B9" s="7" t="n">
        <v>1</v>
      </c>
      <c r="C9" s="7" t="n">
        <v>6</v>
      </c>
      <c r="D9" s="22">
        <f>INDEX(Inputs!$F$23:$F$32,B9)*Inputs!$B$5^(C9-1)*INDEX(EXT_Budget!$K$4:$K$13,B9)</f>
        <v/>
      </c>
      <c r="E9" s="23">
        <f>INDEX(Inputs!$E$23:$E$32,B9)*Inputs!$B$4^(C9-1)</f>
        <v/>
      </c>
      <c r="F9" s="23">
        <f>IF(C9&lt;9,Inputs!$B$8*E9,Inputs!$B$9*Inputs!$B$8*INDEX(Inputs!$E$23:$E$32,B9)*Inputs!$B$4^7)</f>
        <v/>
      </c>
      <c r="G9" s="23">
        <f>IF(C9=1,F9/Inputs!$B$4,F8)</f>
        <v/>
      </c>
      <c r="H9" s="23">
        <f>IF(C9=1,G9,Inputs!$B$7*F8)</f>
        <v/>
      </c>
      <c r="I9" s="24">
        <f>H9/D9/3600</f>
        <v/>
      </c>
      <c r="J9" s="24">
        <f>(F9-G9)/(Inputs!$B$6*D9)/3600</f>
        <v/>
      </c>
      <c r="K9" s="24">
        <f>I9+J9</f>
        <v/>
      </c>
      <c r="L9" s="22">
        <f>L8+K9</f>
        <v/>
      </c>
      <c r="M9" s="25">
        <f>L9/(Inputs!$B$10*Inputs!$B$11)</f>
        <v/>
      </c>
      <c r="N9" s="21">
        <f>(L9-K9)/(Inputs!$B$10*Inputs!$B$11)</f>
        <v/>
      </c>
    </row>
    <row r="10">
      <c r="A10" s="19">
        <f>Inputs!$C$23&amp;" 7"</f>
        <v/>
      </c>
      <c r="B10" s="7" t="n">
        <v>1</v>
      </c>
      <c r="C10" s="7" t="n">
        <v>7</v>
      </c>
      <c r="D10" s="22">
        <f>INDEX(Inputs!$F$23:$F$32,B10)*Inputs!$B$5^(C10-1)*INDEX(EXT_Budget!$K$4:$K$13,B10)</f>
        <v/>
      </c>
      <c r="E10" s="23">
        <f>INDEX(Inputs!$E$23:$E$32,B10)*Inputs!$B$4^(C10-1)</f>
        <v/>
      </c>
      <c r="F10" s="23">
        <f>IF(C10&lt;9,Inputs!$B$8*E10,Inputs!$B$9*Inputs!$B$8*INDEX(Inputs!$E$23:$E$32,B10)*Inputs!$B$4^7)</f>
        <v/>
      </c>
      <c r="G10" s="23">
        <f>IF(C10=1,F10/Inputs!$B$4,F9)</f>
        <v/>
      </c>
      <c r="H10" s="23">
        <f>IF(C10=1,G10,Inputs!$B$7*F9)</f>
        <v/>
      </c>
      <c r="I10" s="24">
        <f>H10/D10/3600</f>
        <v/>
      </c>
      <c r="J10" s="24">
        <f>(F10-G10)/(Inputs!$B$6*D10)/3600</f>
        <v/>
      </c>
      <c r="K10" s="24">
        <f>I10+J10</f>
        <v/>
      </c>
      <c r="L10" s="22">
        <f>L9+K10</f>
        <v/>
      </c>
      <c r="M10" s="25">
        <f>L10/(Inputs!$B$10*Inputs!$B$11)</f>
        <v/>
      </c>
      <c r="N10" s="21">
        <f>(L10-K10)/(Inputs!$B$10*Inputs!$B$11)</f>
        <v/>
      </c>
    </row>
    <row r="11">
      <c r="A11" s="19">
        <f>Inputs!$C$23&amp;" 8"</f>
        <v/>
      </c>
      <c r="B11" s="7" t="n">
        <v>1</v>
      </c>
      <c r="C11" s="7" t="n">
        <v>8</v>
      </c>
      <c r="D11" s="22">
        <f>INDEX(Inputs!$F$23:$F$32,B11)*Inputs!$B$5^(C11-1)*INDEX(EXT_Budget!$K$4:$K$13,B11)</f>
        <v/>
      </c>
      <c r="E11" s="23">
        <f>INDEX(Inputs!$E$23:$E$32,B11)*Inputs!$B$4^(C11-1)</f>
        <v/>
      </c>
      <c r="F11" s="23">
        <f>IF(C11&lt;9,Inputs!$B$8*E11,Inputs!$B$9*Inputs!$B$8*INDEX(Inputs!$E$23:$E$32,B11)*Inputs!$B$4^7)</f>
        <v/>
      </c>
      <c r="G11" s="23">
        <f>IF(C11=1,F11/Inputs!$B$4,F10)</f>
        <v/>
      </c>
      <c r="H11" s="23">
        <f>IF(C11=1,G11,Inputs!$B$7*F10)</f>
        <v/>
      </c>
      <c r="I11" s="24">
        <f>H11/D11/3600</f>
        <v/>
      </c>
      <c r="J11" s="24">
        <f>(F11-G11)/(Inputs!$B$6*D11)/3600</f>
        <v/>
      </c>
      <c r="K11" s="24">
        <f>I11+J11</f>
        <v/>
      </c>
      <c r="L11" s="22">
        <f>L10+K11</f>
        <v/>
      </c>
      <c r="M11" s="25">
        <f>L11/(Inputs!$B$10*Inputs!$B$11)</f>
        <v/>
      </c>
      <c r="N11" s="21">
        <f>(L11-K11)/(Inputs!$B$10*Inputs!$B$11)</f>
        <v/>
      </c>
    </row>
    <row r="12">
      <c r="A12" s="19">
        <f>Inputs!$C$23&amp;" 9"</f>
        <v/>
      </c>
      <c r="B12" s="7" t="n">
        <v>1</v>
      </c>
      <c r="C12" s="7" t="n">
        <v>9</v>
      </c>
      <c r="D12" s="22">
        <f>INDEX(Inputs!$F$23:$F$32,B12)*Inputs!$B$5^(C12-1)*INDEX(EXT_Budget!$K$4:$K$13,B12)</f>
        <v/>
      </c>
      <c r="E12" s="23">
        <f>INDEX(Inputs!$E$23:$E$32,B12)*Inputs!$B$4^(C12-1)</f>
        <v/>
      </c>
      <c r="F12" s="23">
        <f>IF(C12&lt;9,Inputs!$B$8*E12,Inputs!$B$9*Inputs!$B$8*INDEX(Inputs!$E$23:$E$32,B12)*Inputs!$B$4^7)</f>
        <v/>
      </c>
      <c r="G12" s="23">
        <f>IF(C12=1,F12/Inputs!$B$4,F11)</f>
        <v/>
      </c>
      <c r="H12" s="23">
        <f>IF(C12=1,G12,Inputs!$B$7*F11)</f>
        <v/>
      </c>
      <c r="I12" s="24">
        <f>H12/D12/3600</f>
        <v/>
      </c>
      <c r="J12" s="24">
        <f>(F12-G12)/(Inputs!$B$6*D12)/3600</f>
        <v/>
      </c>
      <c r="K12" s="24">
        <f>I12+J12</f>
        <v/>
      </c>
      <c r="L12" s="22">
        <f>L11+K12</f>
        <v/>
      </c>
      <c r="M12" s="25">
        <f>L12/(Inputs!$B$10*Inputs!$B$11)</f>
        <v/>
      </c>
      <c r="N12" s="21">
        <f>(L12-K12)/(Inputs!$B$10*Inputs!$B$11)</f>
        <v/>
      </c>
    </row>
    <row r="13">
      <c r="A13" s="19">
        <f>Inputs!$C$24&amp;" 1"</f>
        <v/>
      </c>
      <c r="B13" s="7" t="n">
        <v>2</v>
      </c>
      <c r="C13" s="7" t="n">
        <v>1</v>
      </c>
      <c r="D13" s="22">
        <f>INDEX(Inputs!$F$23:$F$32,B13)*Inputs!$B$5^(C13-1)*INDEX(EXT_Budget!$K$4:$K$13,B13)</f>
        <v/>
      </c>
      <c r="E13" s="23">
        <f>INDEX(Inputs!$E$23:$E$32,B13)*Inputs!$B$4^(C13-1)</f>
        <v/>
      </c>
      <c r="F13" s="23">
        <f>IF(C13&lt;9,Inputs!$B$8*E13,Inputs!$B$9*Inputs!$B$8*INDEX(Inputs!$E$23:$E$32,B13)*Inputs!$B$4^7)</f>
        <v/>
      </c>
      <c r="G13" s="23">
        <f>IF(C13=1,F13/Inputs!$B$4,F12)</f>
        <v/>
      </c>
      <c r="H13" s="23">
        <f>IF(C13=1,G13,Inputs!$B$7*F12)</f>
        <v/>
      </c>
      <c r="I13" s="24">
        <f>H13/D13/3600</f>
        <v/>
      </c>
      <c r="J13" s="24">
        <f>(F13-G13)/(Inputs!$B$6*D13)/3600</f>
        <v/>
      </c>
      <c r="K13" s="24">
        <f>I13+J13</f>
        <v/>
      </c>
      <c r="L13" s="22">
        <f>L12+K13</f>
        <v/>
      </c>
      <c r="M13" s="25">
        <f>L13/(Inputs!$B$10*Inputs!$B$11)</f>
        <v/>
      </c>
      <c r="N13" s="21">
        <f>(L13-K13)/(Inputs!$B$10*Inputs!$B$11)</f>
        <v/>
      </c>
    </row>
    <row r="14">
      <c r="A14" s="19">
        <f>Inputs!$C$24&amp;" 2"</f>
        <v/>
      </c>
      <c r="B14" s="7" t="n">
        <v>2</v>
      </c>
      <c r="C14" s="7" t="n">
        <v>2</v>
      </c>
      <c r="D14" s="22">
        <f>INDEX(Inputs!$F$23:$F$32,B14)*Inputs!$B$5^(C14-1)*INDEX(EXT_Budget!$K$4:$K$13,B14)</f>
        <v/>
      </c>
      <c r="E14" s="23">
        <f>INDEX(Inputs!$E$23:$E$32,B14)*Inputs!$B$4^(C14-1)</f>
        <v/>
      </c>
      <c r="F14" s="23">
        <f>IF(C14&lt;9,Inputs!$B$8*E14,Inputs!$B$9*Inputs!$B$8*INDEX(Inputs!$E$23:$E$32,B14)*Inputs!$B$4^7)</f>
        <v/>
      </c>
      <c r="G14" s="23">
        <f>IF(C14=1,F14/Inputs!$B$4,F13)</f>
        <v/>
      </c>
      <c r="H14" s="23">
        <f>IF(C14=1,G14,Inputs!$B$7*F13)</f>
        <v/>
      </c>
      <c r="I14" s="24">
        <f>H14/D14/3600</f>
        <v/>
      </c>
      <c r="J14" s="24">
        <f>(F14-G14)/(Inputs!$B$6*D14)/3600</f>
        <v/>
      </c>
      <c r="K14" s="24">
        <f>I14+J14</f>
        <v/>
      </c>
      <c r="L14" s="22">
        <f>L13+K14</f>
        <v/>
      </c>
      <c r="M14" s="25">
        <f>L14/(Inputs!$B$10*Inputs!$B$11)</f>
        <v/>
      </c>
      <c r="N14" s="21">
        <f>(L14-K14)/(Inputs!$B$10*Inputs!$B$11)</f>
        <v/>
      </c>
    </row>
    <row r="15">
      <c r="A15" s="19">
        <f>Inputs!$C$24&amp;" 3"</f>
        <v/>
      </c>
      <c r="B15" s="7" t="n">
        <v>2</v>
      </c>
      <c r="C15" s="7" t="n">
        <v>3</v>
      </c>
      <c r="D15" s="22">
        <f>INDEX(Inputs!$F$23:$F$32,B15)*Inputs!$B$5^(C15-1)*INDEX(EXT_Budget!$K$4:$K$13,B15)</f>
        <v/>
      </c>
      <c r="E15" s="23">
        <f>INDEX(Inputs!$E$23:$E$32,B15)*Inputs!$B$4^(C15-1)</f>
        <v/>
      </c>
      <c r="F15" s="23">
        <f>IF(C15&lt;9,Inputs!$B$8*E15,Inputs!$B$9*Inputs!$B$8*INDEX(Inputs!$E$23:$E$32,B15)*Inputs!$B$4^7)</f>
        <v/>
      </c>
      <c r="G15" s="23">
        <f>IF(C15=1,F15/Inputs!$B$4,F14)</f>
        <v/>
      </c>
      <c r="H15" s="23">
        <f>IF(C15=1,G15,Inputs!$B$7*F14)</f>
        <v/>
      </c>
      <c r="I15" s="24">
        <f>H15/D15/3600</f>
        <v/>
      </c>
      <c r="J15" s="24">
        <f>(F15-G15)/(Inputs!$B$6*D15)/3600</f>
        <v/>
      </c>
      <c r="K15" s="24">
        <f>I15+J15</f>
        <v/>
      </c>
      <c r="L15" s="22">
        <f>L14+K15</f>
        <v/>
      </c>
      <c r="M15" s="25">
        <f>L15/(Inputs!$B$10*Inputs!$B$11)</f>
        <v/>
      </c>
      <c r="N15" s="21">
        <f>(L15-K15)/(Inputs!$B$10*Inputs!$B$11)</f>
        <v/>
      </c>
    </row>
    <row r="16">
      <c r="A16" s="19">
        <f>Inputs!$C$24&amp;" 4"</f>
        <v/>
      </c>
      <c r="B16" s="7" t="n">
        <v>2</v>
      </c>
      <c r="C16" s="7" t="n">
        <v>4</v>
      </c>
      <c r="D16" s="22">
        <f>INDEX(Inputs!$F$23:$F$32,B16)*Inputs!$B$5^(C16-1)*INDEX(EXT_Budget!$K$4:$K$13,B16)</f>
        <v/>
      </c>
      <c r="E16" s="23">
        <f>INDEX(Inputs!$E$23:$E$32,B16)*Inputs!$B$4^(C16-1)</f>
        <v/>
      </c>
      <c r="F16" s="23">
        <f>IF(C16&lt;9,Inputs!$B$8*E16,Inputs!$B$9*Inputs!$B$8*INDEX(Inputs!$E$23:$E$32,B16)*Inputs!$B$4^7)</f>
        <v/>
      </c>
      <c r="G16" s="23">
        <f>IF(C16=1,F16/Inputs!$B$4,F15)</f>
        <v/>
      </c>
      <c r="H16" s="23">
        <f>IF(C16=1,G16,Inputs!$B$7*F15)</f>
        <v/>
      </c>
      <c r="I16" s="24">
        <f>H16/D16/3600</f>
        <v/>
      </c>
      <c r="J16" s="24">
        <f>(F16-G16)/(Inputs!$B$6*D16)/3600</f>
        <v/>
      </c>
      <c r="K16" s="24">
        <f>I16+J16</f>
        <v/>
      </c>
      <c r="L16" s="22">
        <f>L15+K16</f>
        <v/>
      </c>
      <c r="M16" s="25">
        <f>L16/(Inputs!$B$10*Inputs!$B$11)</f>
        <v/>
      </c>
      <c r="N16" s="21">
        <f>(L16-K16)/(Inputs!$B$10*Inputs!$B$11)</f>
        <v/>
      </c>
    </row>
    <row r="17">
      <c r="A17" s="19">
        <f>Inputs!$C$24&amp;" 5"</f>
        <v/>
      </c>
      <c r="B17" s="7" t="n">
        <v>2</v>
      </c>
      <c r="C17" s="7" t="n">
        <v>5</v>
      </c>
      <c r="D17" s="22">
        <f>INDEX(Inputs!$F$23:$F$32,B17)*Inputs!$B$5^(C17-1)*INDEX(EXT_Budget!$K$4:$K$13,B17)</f>
        <v/>
      </c>
      <c r="E17" s="23">
        <f>INDEX(Inputs!$E$23:$E$32,B17)*Inputs!$B$4^(C17-1)</f>
        <v/>
      </c>
      <c r="F17" s="23">
        <f>IF(C17&lt;9,Inputs!$B$8*E17,Inputs!$B$9*Inputs!$B$8*INDEX(Inputs!$E$23:$E$32,B17)*Inputs!$B$4^7)</f>
        <v/>
      </c>
      <c r="G17" s="23">
        <f>IF(C17=1,F17/Inputs!$B$4,F16)</f>
        <v/>
      </c>
      <c r="H17" s="23">
        <f>IF(C17=1,G17,Inputs!$B$7*F16)</f>
        <v/>
      </c>
      <c r="I17" s="24">
        <f>H17/D17/3600</f>
        <v/>
      </c>
      <c r="J17" s="24">
        <f>(F17-G17)/(Inputs!$B$6*D17)/3600</f>
        <v/>
      </c>
      <c r="K17" s="24">
        <f>I17+J17</f>
        <v/>
      </c>
      <c r="L17" s="22">
        <f>L16+K17</f>
        <v/>
      </c>
      <c r="M17" s="25">
        <f>L17/(Inputs!$B$10*Inputs!$B$11)</f>
        <v/>
      </c>
      <c r="N17" s="21">
        <f>(L17-K17)/(Inputs!$B$10*Inputs!$B$11)</f>
        <v/>
      </c>
    </row>
    <row r="18">
      <c r="A18" s="19">
        <f>Inputs!$C$24&amp;" 6"</f>
        <v/>
      </c>
      <c r="B18" s="7" t="n">
        <v>2</v>
      </c>
      <c r="C18" s="7" t="n">
        <v>6</v>
      </c>
      <c r="D18" s="22">
        <f>INDEX(Inputs!$F$23:$F$32,B18)*Inputs!$B$5^(C18-1)*INDEX(EXT_Budget!$K$4:$K$13,B18)</f>
        <v/>
      </c>
      <c r="E18" s="23">
        <f>INDEX(Inputs!$E$23:$E$32,B18)*Inputs!$B$4^(C18-1)</f>
        <v/>
      </c>
      <c r="F18" s="23">
        <f>IF(C18&lt;9,Inputs!$B$8*E18,Inputs!$B$9*Inputs!$B$8*INDEX(Inputs!$E$23:$E$32,B18)*Inputs!$B$4^7)</f>
        <v/>
      </c>
      <c r="G18" s="23">
        <f>IF(C18=1,F18/Inputs!$B$4,F17)</f>
        <v/>
      </c>
      <c r="H18" s="23">
        <f>IF(C18=1,G18,Inputs!$B$7*F17)</f>
        <v/>
      </c>
      <c r="I18" s="24">
        <f>H18/D18/3600</f>
        <v/>
      </c>
      <c r="J18" s="24">
        <f>(F18-G18)/(Inputs!$B$6*D18)/3600</f>
        <v/>
      </c>
      <c r="K18" s="24">
        <f>I18+J18</f>
        <v/>
      </c>
      <c r="L18" s="22">
        <f>L17+K18</f>
        <v/>
      </c>
      <c r="M18" s="25">
        <f>L18/(Inputs!$B$10*Inputs!$B$11)</f>
        <v/>
      </c>
      <c r="N18" s="21">
        <f>(L18-K18)/(Inputs!$B$10*Inputs!$B$11)</f>
        <v/>
      </c>
    </row>
    <row r="19">
      <c r="A19" s="19">
        <f>Inputs!$C$24&amp;" 7"</f>
        <v/>
      </c>
      <c r="B19" s="7" t="n">
        <v>2</v>
      </c>
      <c r="C19" s="7" t="n">
        <v>7</v>
      </c>
      <c r="D19" s="22">
        <f>INDEX(Inputs!$F$23:$F$32,B19)*Inputs!$B$5^(C19-1)*INDEX(EXT_Budget!$K$4:$K$13,B19)</f>
        <v/>
      </c>
      <c r="E19" s="23">
        <f>INDEX(Inputs!$E$23:$E$32,B19)*Inputs!$B$4^(C19-1)</f>
        <v/>
      </c>
      <c r="F19" s="23">
        <f>IF(C19&lt;9,Inputs!$B$8*E19,Inputs!$B$9*Inputs!$B$8*INDEX(Inputs!$E$23:$E$32,B19)*Inputs!$B$4^7)</f>
        <v/>
      </c>
      <c r="G19" s="23">
        <f>IF(C19=1,F19/Inputs!$B$4,F18)</f>
        <v/>
      </c>
      <c r="H19" s="23">
        <f>IF(C19=1,G19,Inputs!$B$7*F18)</f>
        <v/>
      </c>
      <c r="I19" s="24">
        <f>H19/D19/3600</f>
        <v/>
      </c>
      <c r="J19" s="24">
        <f>(F19-G19)/(Inputs!$B$6*D19)/3600</f>
        <v/>
      </c>
      <c r="K19" s="24">
        <f>I19+J19</f>
        <v/>
      </c>
      <c r="L19" s="22">
        <f>L18+K19</f>
        <v/>
      </c>
      <c r="M19" s="25">
        <f>L19/(Inputs!$B$10*Inputs!$B$11)</f>
        <v/>
      </c>
      <c r="N19" s="21">
        <f>(L19-K19)/(Inputs!$B$10*Inputs!$B$11)</f>
        <v/>
      </c>
    </row>
    <row r="20">
      <c r="A20" s="19">
        <f>Inputs!$C$24&amp;" 8"</f>
        <v/>
      </c>
      <c r="B20" s="7" t="n">
        <v>2</v>
      </c>
      <c r="C20" s="7" t="n">
        <v>8</v>
      </c>
      <c r="D20" s="22">
        <f>INDEX(Inputs!$F$23:$F$32,B20)*Inputs!$B$5^(C20-1)*INDEX(EXT_Budget!$K$4:$K$13,B20)</f>
        <v/>
      </c>
      <c r="E20" s="23">
        <f>INDEX(Inputs!$E$23:$E$32,B20)*Inputs!$B$4^(C20-1)</f>
        <v/>
      </c>
      <c r="F20" s="23">
        <f>IF(C20&lt;9,Inputs!$B$8*E20,Inputs!$B$9*Inputs!$B$8*INDEX(Inputs!$E$23:$E$32,B20)*Inputs!$B$4^7)</f>
        <v/>
      </c>
      <c r="G20" s="23">
        <f>IF(C20=1,F20/Inputs!$B$4,F19)</f>
        <v/>
      </c>
      <c r="H20" s="23">
        <f>IF(C20=1,G20,Inputs!$B$7*F19)</f>
        <v/>
      </c>
      <c r="I20" s="24">
        <f>H20/D20/3600</f>
        <v/>
      </c>
      <c r="J20" s="24">
        <f>(F20-G20)/(Inputs!$B$6*D20)/3600</f>
        <v/>
      </c>
      <c r="K20" s="24">
        <f>I20+J20</f>
        <v/>
      </c>
      <c r="L20" s="22">
        <f>L19+K20</f>
        <v/>
      </c>
      <c r="M20" s="25">
        <f>L20/(Inputs!$B$10*Inputs!$B$11)</f>
        <v/>
      </c>
      <c r="N20" s="21">
        <f>(L20-K20)/(Inputs!$B$10*Inputs!$B$11)</f>
        <v/>
      </c>
    </row>
    <row r="21">
      <c r="A21" s="19">
        <f>Inputs!$C$24&amp;" 9"</f>
        <v/>
      </c>
      <c r="B21" s="7" t="n">
        <v>2</v>
      </c>
      <c r="C21" s="7" t="n">
        <v>9</v>
      </c>
      <c r="D21" s="22">
        <f>INDEX(Inputs!$F$23:$F$32,B21)*Inputs!$B$5^(C21-1)*INDEX(EXT_Budget!$K$4:$K$13,B21)</f>
        <v/>
      </c>
      <c r="E21" s="23">
        <f>INDEX(Inputs!$E$23:$E$32,B21)*Inputs!$B$4^(C21-1)</f>
        <v/>
      </c>
      <c r="F21" s="23">
        <f>IF(C21&lt;9,Inputs!$B$8*E21,Inputs!$B$9*Inputs!$B$8*INDEX(Inputs!$E$23:$E$32,B21)*Inputs!$B$4^7)</f>
        <v/>
      </c>
      <c r="G21" s="23">
        <f>IF(C21=1,F21/Inputs!$B$4,F20)</f>
        <v/>
      </c>
      <c r="H21" s="23">
        <f>IF(C21=1,G21,Inputs!$B$7*F20)</f>
        <v/>
      </c>
      <c r="I21" s="24">
        <f>H21/D21/3600</f>
        <v/>
      </c>
      <c r="J21" s="24">
        <f>(F21-G21)/(Inputs!$B$6*D21)/3600</f>
        <v/>
      </c>
      <c r="K21" s="24">
        <f>I21+J21</f>
        <v/>
      </c>
      <c r="L21" s="22">
        <f>L20+K21</f>
        <v/>
      </c>
      <c r="M21" s="25">
        <f>L21/(Inputs!$B$10*Inputs!$B$11)</f>
        <v/>
      </c>
      <c r="N21" s="21">
        <f>(L21-K21)/(Inputs!$B$10*Inputs!$B$11)</f>
        <v/>
      </c>
    </row>
    <row r="22">
      <c r="A22" s="19">
        <f>Inputs!$C$25&amp;" 1"</f>
        <v/>
      </c>
      <c r="B22" s="7" t="n">
        <v>3</v>
      </c>
      <c r="C22" s="7" t="n">
        <v>1</v>
      </c>
      <c r="D22" s="22">
        <f>INDEX(Inputs!$F$23:$F$32,B22)*Inputs!$B$5^(C22-1)*INDEX(EXT_Budget!$K$4:$K$13,B22)</f>
        <v/>
      </c>
      <c r="E22" s="23">
        <f>INDEX(Inputs!$E$23:$E$32,B22)*Inputs!$B$4^(C22-1)</f>
        <v/>
      </c>
      <c r="F22" s="23">
        <f>IF(C22&lt;9,Inputs!$B$8*E22,Inputs!$B$9*Inputs!$B$8*INDEX(Inputs!$E$23:$E$32,B22)*Inputs!$B$4^7)</f>
        <v/>
      </c>
      <c r="G22" s="23">
        <f>IF(C22=1,F22/Inputs!$B$4,F21)</f>
        <v/>
      </c>
      <c r="H22" s="23">
        <f>IF(C22=1,G22,Inputs!$B$7*F21)</f>
        <v/>
      </c>
      <c r="I22" s="24">
        <f>H22/D22/3600</f>
        <v/>
      </c>
      <c r="J22" s="24">
        <f>(F22-G22)/(Inputs!$B$6*D22)/3600</f>
        <v/>
      </c>
      <c r="K22" s="24">
        <f>I22+J22</f>
        <v/>
      </c>
      <c r="L22" s="22">
        <f>L21+K22</f>
        <v/>
      </c>
      <c r="M22" s="25">
        <f>L22/(Inputs!$B$10*Inputs!$B$11)</f>
        <v/>
      </c>
      <c r="N22" s="21">
        <f>(L22-K22)/(Inputs!$B$10*Inputs!$B$11)</f>
        <v/>
      </c>
    </row>
    <row r="23">
      <c r="A23" s="19">
        <f>Inputs!$C$25&amp;" 2"</f>
        <v/>
      </c>
      <c r="B23" s="7" t="n">
        <v>3</v>
      </c>
      <c r="C23" s="7" t="n">
        <v>2</v>
      </c>
      <c r="D23" s="22">
        <f>INDEX(Inputs!$F$23:$F$32,B23)*Inputs!$B$5^(C23-1)*INDEX(EXT_Budget!$K$4:$K$13,B23)</f>
        <v/>
      </c>
      <c r="E23" s="23">
        <f>INDEX(Inputs!$E$23:$E$32,B23)*Inputs!$B$4^(C23-1)</f>
        <v/>
      </c>
      <c r="F23" s="23">
        <f>IF(C23&lt;9,Inputs!$B$8*E23,Inputs!$B$9*Inputs!$B$8*INDEX(Inputs!$E$23:$E$32,B23)*Inputs!$B$4^7)</f>
        <v/>
      </c>
      <c r="G23" s="23">
        <f>IF(C23=1,F23/Inputs!$B$4,F22)</f>
        <v/>
      </c>
      <c r="H23" s="23">
        <f>IF(C23=1,G23,Inputs!$B$7*F22)</f>
        <v/>
      </c>
      <c r="I23" s="24">
        <f>H23/D23/3600</f>
        <v/>
      </c>
      <c r="J23" s="24">
        <f>(F23-G23)/(Inputs!$B$6*D23)/3600</f>
        <v/>
      </c>
      <c r="K23" s="24">
        <f>I23+J23</f>
        <v/>
      </c>
      <c r="L23" s="22">
        <f>L22+K23</f>
        <v/>
      </c>
      <c r="M23" s="25">
        <f>L23/(Inputs!$B$10*Inputs!$B$11)</f>
        <v/>
      </c>
      <c r="N23" s="21">
        <f>(L23-K23)/(Inputs!$B$10*Inputs!$B$11)</f>
        <v/>
      </c>
    </row>
    <row r="24">
      <c r="A24" s="19">
        <f>Inputs!$C$25&amp;" 3"</f>
        <v/>
      </c>
      <c r="B24" s="7" t="n">
        <v>3</v>
      </c>
      <c r="C24" s="7" t="n">
        <v>3</v>
      </c>
      <c r="D24" s="22">
        <f>INDEX(Inputs!$F$23:$F$32,B24)*Inputs!$B$5^(C24-1)*INDEX(EXT_Budget!$K$4:$K$13,B24)</f>
        <v/>
      </c>
      <c r="E24" s="23">
        <f>INDEX(Inputs!$E$23:$E$32,B24)*Inputs!$B$4^(C24-1)</f>
        <v/>
      </c>
      <c r="F24" s="23">
        <f>IF(C24&lt;9,Inputs!$B$8*E24,Inputs!$B$9*Inputs!$B$8*INDEX(Inputs!$E$23:$E$32,B24)*Inputs!$B$4^7)</f>
        <v/>
      </c>
      <c r="G24" s="23">
        <f>IF(C24=1,F24/Inputs!$B$4,F23)</f>
        <v/>
      </c>
      <c r="H24" s="23">
        <f>IF(C24=1,G24,Inputs!$B$7*F23)</f>
        <v/>
      </c>
      <c r="I24" s="24">
        <f>H24/D24/3600</f>
        <v/>
      </c>
      <c r="J24" s="24">
        <f>(F24-G24)/(Inputs!$B$6*D24)/3600</f>
        <v/>
      </c>
      <c r="K24" s="24">
        <f>I24+J24</f>
        <v/>
      </c>
      <c r="L24" s="22">
        <f>L23+K24</f>
        <v/>
      </c>
      <c r="M24" s="25">
        <f>L24/(Inputs!$B$10*Inputs!$B$11)</f>
        <v/>
      </c>
      <c r="N24" s="21">
        <f>(L24-K24)/(Inputs!$B$10*Inputs!$B$11)</f>
        <v/>
      </c>
    </row>
    <row r="25">
      <c r="A25" s="19">
        <f>Inputs!$C$25&amp;" 4"</f>
        <v/>
      </c>
      <c r="B25" s="7" t="n">
        <v>3</v>
      </c>
      <c r="C25" s="7" t="n">
        <v>4</v>
      </c>
      <c r="D25" s="22">
        <f>INDEX(Inputs!$F$23:$F$32,B25)*Inputs!$B$5^(C25-1)*INDEX(EXT_Budget!$K$4:$K$13,B25)</f>
        <v/>
      </c>
      <c r="E25" s="23">
        <f>INDEX(Inputs!$E$23:$E$32,B25)*Inputs!$B$4^(C25-1)</f>
        <v/>
      </c>
      <c r="F25" s="23">
        <f>IF(C25&lt;9,Inputs!$B$8*E25,Inputs!$B$9*Inputs!$B$8*INDEX(Inputs!$E$23:$E$32,B25)*Inputs!$B$4^7)</f>
        <v/>
      </c>
      <c r="G25" s="23">
        <f>IF(C25=1,F25/Inputs!$B$4,F24)</f>
        <v/>
      </c>
      <c r="H25" s="23">
        <f>IF(C25=1,G25,Inputs!$B$7*F24)</f>
        <v/>
      </c>
      <c r="I25" s="24">
        <f>H25/D25/3600</f>
        <v/>
      </c>
      <c r="J25" s="24">
        <f>(F25-G25)/(Inputs!$B$6*D25)/3600</f>
        <v/>
      </c>
      <c r="K25" s="24">
        <f>I25+J25</f>
        <v/>
      </c>
      <c r="L25" s="22">
        <f>L24+K25</f>
        <v/>
      </c>
      <c r="M25" s="25">
        <f>L25/(Inputs!$B$10*Inputs!$B$11)</f>
        <v/>
      </c>
      <c r="N25" s="21">
        <f>(L25-K25)/(Inputs!$B$10*Inputs!$B$11)</f>
        <v/>
      </c>
    </row>
    <row r="26">
      <c r="A26" s="19">
        <f>Inputs!$C$25&amp;" 5"</f>
        <v/>
      </c>
      <c r="B26" s="7" t="n">
        <v>3</v>
      </c>
      <c r="C26" s="7" t="n">
        <v>5</v>
      </c>
      <c r="D26" s="22">
        <f>INDEX(Inputs!$F$23:$F$32,B26)*Inputs!$B$5^(C26-1)*INDEX(EXT_Budget!$K$4:$K$13,B26)</f>
        <v/>
      </c>
      <c r="E26" s="23">
        <f>INDEX(Inputs!$E$23:$E$32,B26)*Inputs!$B$4^(C26-1)</f>
        <v/>
      </c>
      <c r="F26" s="23">
        <f>IF(C26&lt;9,Inputs!$B$8*E26,Inputs!$B$9*Inputs!$B$8*INDEX(Inputs!$E$23:$E$32,B26)*Inputs!$B$4^7)</f>
        <v/>
      </c>
      <c r="G26" s="23">
        <f>IF(C26=1,F26/Inputs!$B$4,F25)</f>
        <v/>
      </c>
      <c r="H26" s="23">
        <f>IF(C26=1,G26,Inputs!$B$7*F25)</f>
        <v/>
      </c>
      <c r="I26" s="24">
        <f>H26/D26/3600</f>
        <v/>
      </c>
      <c r="J26" s="24">
        <f>(F26-G26)/(Inputs!$B$6*D26)/3600</f>
        <v/>
      </c>
      <c r="K26" s="24">
        <f>I26+J26</f>
        <v/>
      </c>
      <c r="L26" s="22">
        <f>L25+K26</f>
        <v/>
      </c>
      <c r="M26" s="25">
        <f>L26/(Inputs!$B$10*Inputs!$B$11)</f>
        <v/>
      </c>
      <c r="N26" s="21">
        <f>(L26-K26)/(Inputs!$B$10*Inputs!$B$11)</f>
        <v/>
      </c>
    </row>
    <row r="27">
      <c r="A27" s="19">
        <f>Inputs!$C$25&amp;" 6"</f>
        <v/>
      </c>
      <c r="B27" s="7" t="n">
        <v>3</v>
      </c>
      <c r="C27" s="7" t="n">
        <v>6</v>
      </c>
      <c r="D27" s="22">
        <f>INDEX(Inputs!$F$23:$F$32,B27)*Inputs!$B$5^(C27-1)*INDEX(EXT_Budget!$K$4:$K$13,B27)</f>
        <v/>
      </c>
      <c r="E27" s="23">
        <f>INDEX(Inputs!$E$23:$E$32,B27)*Inputs!$B$4^(C27-1)</f>
        <v/>
      </c>
      <c r="F27" s="23">
        <f>IF(C27&lt;9,Inputs!$B$8*E27,Inputs!$B$9*Inputs!$B$8*INDEX(Inputs!$E$23:$E$32,B27)*Inputs!$B$4^7)</f>
        <v/>
      </c>
      <c r="G27" s="23">
        <f>IF(C27=1,F27/Inputs!$B$4,F26)</f>
        <v/>
      </c>
      <c r="H27" s="23">
        <f>IF(C27=1,G27,Inputs!$B$7*F26)</f>
        <v/>
      </c>
      <c r="I27" s="24">
        <f>H27/D27/3600</f>
        <v/>
      </c>
      <c r="J27" s="24">
        <f>(F27-G27)/(Inputs!$B$6*D27)/3600</f>
        <v/>
      </c>
      <c r="K27" s="24">
        <f>I27+J27</f>
        <v/>
      </c>
      <c r="L27" s="22">
        <f>L26+K27</f>
        <v/>
      </c>
      <c r="M27" s="25">
        <f>L27/(Inputs!$B$10*Inputs!$B$11)</f>
        <v/>
      </c>
      <c r="N27" s="21">
        <f>(L27-K27)/(Inputs!$B$10*Inputs!$B$11)</f>
        <v/>
      </c>
    </row>
    <row r="28">
      <c r="A28" s="19">
        <f>Inputs!$C$25&amp;" 7"</f>
        <v/>
      </c>
      <c r="B28" s="7" t="n">
        <v>3</v>
      </c>
      <c r="C28" s="7" t="n">
        <v>7</v>
      </c>
      <c r="D28" s="22">
        <f>INDEX(Inputs!$F$23:$F$32,B28)*Inputs!$B$5^(C28-1)*INDEX(EXT_Budget!$K$4:$K$13,B28)</f>
        <v/>
      </c>
      <c r="E28" s="23">
        <f>INDEX(Inputs!$E$23:$E$32,B28)*Inputs!$B$4^(C28-1)</f>
        <v/>
      </c>
      <c r="F28" s="23">
        <f>IF(C28&lt;9,Inputs!$B$8*E28,Inputs!$B$9*Inputs!$B$8*INDEX(Inputs!$E$23:$E$32,B28)*Inputs!$B$4^7)</f>
        <v/>
      </c>
      <c r="G28" s="23">
        <f>IF(C28=1,F28/Inputs!$B$4,F27)</f>
        <v/>
      </c>
      <c r="H28" s="23">
        <f>IF(C28=1,G28,Inputs!$B$7*F27)</f>
        <v/>
      </c>
      <c r="I28" s="24">
        <f>H28/D28/3600</f>
        <v/>
      </c>
      <c r="J28" s="24">
        <f>(F28-G28)/(Inputs!$B$6*D28)/3600</f>
        <v/>
      </c>
      <c r="K28" s="24">
        <f>I28+J28</f>
        <v/>
      </c>
      <c r="L28" s="22">
        <f>L27+K28</f>
        <v/>
      </c>
      <c r="M28" s="25">
        <f>L28/(Inputs!$B$10*Inputs!$B$11)</f>
        <v/>
      </c>
      <c r="N28" s="21">
        <f>(L28-K28)/(Inputs!$B$10*Inputs!$B$11)</f>
        <v/>
      </c>
    </row>
    <row r="29">
      <c r="A29" s="19">
        <f>Inputs!$C$25&amp;" 8"</f>
        <v/>
      </c>
      <c r="B29" s="7" t="n">
        <v>3</v>
      </c>
      <c r="C29" s="7" t="n">
        <v>8</v>
      </c>
      <c r="D29" s="22">
        <f>INDEX(Inputs!$F$23:$F$32,B29)*Inputs!$B$5^(C29-1)*INDEX(EXT_Budget!$K$4:$K$13,B29)</f>
        <v/>
      </c>
      <c r="E29" s="23">
        <f>INDEX(Inputs!$E$23:$E$32,B29)*Inputs!$B$4^(C29-1)</f>
        <v/>
      </c>
      <c r="F29" s="23">
        <f>IF(C29&lt;9,Inputs!$B$8*E29,Inputs!$B$9*Inputs!$B$8*INDEX(Inputs!$E$23:$E$32,B29)*Inputs!$B$4^7)</f>
        <v/>
      </c>
      <c r="G29" s="23">
        <f>IF(C29=1,F29/Inputs!$B$4,F28)</f>
        <v/>
      </c>
      <c r="H29" s="23">
        <f>IF(C29=1,G29,Inputs!$B$7*F28)</f>
        <v/>
      </c>
      <c r="I29" s="24">
        <f>H29/D29/3600</f>
        <v/>
      </c>
      <c r="J29" s="24">
        <f>(F29-G29)/(Inputs!$B$6*D29)/3600</f>
        <v/>
      </c>
      <c r="K29" s="24">
        <f>I29+J29</f>
        <v/>
      </c>
      <c r="L29" s="22">
        <f>L28+K29</f>
        <v/>
      </c>
      <c r="M29" s="25">
        <f>L29/(Inputs!$B$10*Inputs!$B$11)</f>
        <v/>
      </c>
      <c r="N29" s="21">
        <f>(L29-K29)/(Inputs!$B$10*Inputs!$B$11)</f>
        <v/>
      </c>
    </row>
    <row r="30">
      <c r="A30" s="19">
        <f>Inputs!$C$25&amp;" 9"</f>
        <v/>
      </c>
      <c r="B30" s="7" t="n">
        <v>3</v>
      </c>
      <c r="C30" s="7" t="n">
        <v>9</v>
      </c>
      <c r="D30" s="22">
        <f>INDEX(Inputs!$F$23:$F$32,B30)*Inputs!$B$5^(C30-1)*INDEX(EXT_Budget!$K$4:$K$13,B30)</f>
        <v/>
      </c>
      <c r="E30" s="23">
        <f>INDEX(Inputs!$E$23:$E$32,B30)*Inputs!$B$4^(C30-1)</f>
        <v/>
      </c>
      <c r="F30" s="23">
        <f>IF(C30&lt;9,Inputs!$B$8*E30,Inputs!$B$9*Inputs!$B$8*INDEX(Inputs!$E$23:$E$32,B30)*Inputs!$B$4^7)</f>
        <v/>
      </c>
      <c r="G30" s="23">
        <f>IF(C30=1,F30/Inputs!$B$4,F29)</f>
        <v/>
      </c>
      <c r="H30" s="23">
        <f>IF(C30=1,G30,Inputs!$B$7*F29)</f>
        <v/>
      </c>
      <c r="I30" s="24">
        <f>H30/D30/3600</f>
        <v/>
      </c>
      <c r="J30" s="24">
        <f>(F30-G30)/(Inputs!$B$6*D30)/3600</f>
        <v/>
      </c>
      <c r="K30" s="24">
        <f>I30+J30</f>
        <v/>
      </c>
      <c r="L30" s="22">
        <f>L29+K30</f>
        <v/>
      </c>
      <c r="M30" s="25">
        <f>L30/(Inputs!$B$10*Inputs!$B$11)</f>
        <v/>
      </c>
      <c r="N30" s="21">
        <f>(L30-K30)/(Inputs!$B$10*Inputs!$B$11)</f>
        <v/>
      </c>
    </row>
    <row r="31">
      <c r="A31" s="19">
        <f>Inputs!$C$26&amp;" 1"</f>
        <v/>
      </c>
      <c r="B31" s="7" t="n">
        <v>4</v>
      </c>
      <c r="C31" s="7" t="n">
        <v>1</v>
      </c>
      <c r="D31" s="22">
        <f>INDEX(Inputs!$F$23:$F$32,B31)*Inputs!$B$5^(C31-1)*INDEX(EXT_Budget!$K$4:$K$13,B31)</f>
        <v/>
      </c>
      <c r="E31" s="23">
        <f>INDEX(Inputs!$E$23:$E$32,B31)*Inputs!$B$4^(C31-1)</f>
        <v/>
      </c>
      <c r="F31" s="23">
        <f>IF(C31&lt;9,Inputs!$B$8*E31,Inputs!$B$9*Inputs!$B$8*INDEX(Inputs!$E$23:$E$32,B31)*Inputs!$B$4^7)</f>
        <v/>
      </c>
      <c r="G31" s="23">
        <f>IF(C31=1,F31/Inputs!$B$4,F30)</f>
        <v/>
      </c>
      <c r="H31" s="23">
        <f>IF(C31=1,G31,Inputs!$B$7*F30)</f>
        <v/>
      </c>
      <c r="I31" s="24">
        <f>H31/D31/3600</f>
        <v/>
      </c>
      <c r="J31" s="24">
        <f>(F31-G31)/(Inputs!$B$6*D31)/3600</f>
        <v/>
      </c>
      <c r="K31" s="24">
        <f>I31+J31</f>
        <v/>
      </c>
      <c r="L31" s="22">
        <f>L30+K31</f>
        <v/>
      </c>
      <c r="M31" s="25">
        <f>L31/(Inputs!$B$10*Inputs!$B$11)</f>
        <v/>
      </c>
      <c r="N31" s="21">
        <f>(L31-K31)/(Inputs!$B$10*Inputs!$B$11)</f>
        <v/>
      </c>
    </row>
    <row r="32">
      <c r="A32" s="19">
        <f>Inputs!$C$26&amp;" 2"</f>
        <v/>
      </c>
      <c r="B32" s="7" t="n">
        <v>4</v>
      </c>
      <c r="C32" s="7" t="n">
        <v>2</v>
      </c>
      <c r="D32" s="22">
        <f>INDEX(Inputs!$F$23:$F$32,B32)*Inputs!$B$5^(C32-1)*INDEX(EXT_Budget!$K$4:$K$13,B32)</f>
        <v/>
      </c>
      <c r="E32" s="23">
        <f>INDEX(Inputs!$E$23:$E$32,B32)*Inputs!$B$4^(C32-1)</f>
        <v/>
      </c>
      <c r="F32" s="23">
        <f>IF(C32&lt;9,Inputs!$B$8*E32,Inputs!$B$9*Inputs!$B$8*INDEX(Inputs!$E$23:$E$32,B32)*Inputs!$B$4^7)</f>
        <v/>
      </c>
      <c r="G32" s="23">
        <f>IF(C32=1,F32/Inputs!$B$4,F31)</f>
        <v/>
      </c>
      <c r="H32" s="23">
        <f>IF(C32=1,G32,Inputs!$B$7*F31)</f>
        <v/>
      </c>
      <c r="I32" s="24">
        <f>H32/D32/3600</f>
        <v/>
      </c>
      <c r="J32" s="24">
        <f>(F32-G32)/(Inputs!$B$6*D32)/3600</f>
        <v/>
      </c>
      <c r="K32" s="24">
        <f>I32+J32</f>
        <v/>
      </c>
      <c r="L32" s="22">
        <f>L31+K32</f>
        <v/>
      </c>
      <c r="M32" s="25">
        <f>L32/(Inputs!$B$10*Inputs!$B$11)</f>
        <v/>
      </c>
      <c r="N32" s="21">
        <f>(L32-K32)/(Inputs!$B$10*Inputs!$B$11)</f>
        <v/>
      </c>
    </row>
    <row r="33">
      <c r="A33" s="19">
        <f>Inputs!$C$26&amp;" 3"</f>
        <v/>
      </c>
      <c r="B33" s="7" t="n">
        <v>4</v>
      </c>
      <c r="C33" s="7" t="n">
        <v>3</v>
      </c>
      <c r="D33" s="22">
        <f>INDEX(Inputs!$F$23:$F$32,B33)*Inputs!$B$5^(C33-1)*INDEX(EXT_Budget!$K$4:$K$13,B33)</f>
        <v/>
      </c>
      <c r="E33" s="23">
        <f>INDEX(Inputs!$E$23:$E$32,B33)*Inputs!$B$4^(C33-1)</f>
        <v/>
      </c>
      <c r="F33" s="23">
        <f>IF(C33&lt;9,Inputs!$B$8*E33,Inputs!$B$9*Inputs!$B$8*INDEX(Inputs!$E$23:$E$32,B33)*Inputs!$B$4^7)</f>
        <v/>
      </c>
      <c r="G33" s="23">
        <f>IF(C33=1,F33/Inputs!$B$4,F32)</f>
        <v/>
      </c>
      <c r="H33" s="23">
        <f>IF(C33=1,G33,Inputs!$B$7*F32)</f>
        <v/>
      </c>
      <c r="I33" s="24">
        <f>H33/D33/3600</f>
        <v/>
      </c>
      <c r="J33" s="24">
        <f>(F33-G33)/(Inputs!$B$6*D33)/3600</f>
        <v/>
      </c>
      <c r="K33" s="24">
        <f>I33+J33</f>
        <v/>
      </c>
      <c r="L33" s="22">
        <f>L32+K33</f>
        <v/>
      </c>
      <c r="M33" s="25">
        <f>L33/(Inputs!$B$10*Inputs!$B$11)</f>
        <v/>
      </c>
      <c r="N33" s="21">
        <f>(L33-K33)/(Inputs!$B$10*Inputs!$B$11)</f>
        <v/>
      </c>
    </row>
    <row r="34">
      <c r="A34" s="19">
        <f>Inputs!$C$26&amp;" 4"</f>
        <v/>
      </c>
      <c r="B34" s="7" t="n">
        <v>4</v>
      </c>
      <c r="C34" s="7" t="n">
        <v>4</v>
      </c>
      <c r="D34" s="22">
        <f>INDEX(Inputs!$F$23:$F$32,B34)*Inputs!$B$5^(C34-1)*INDEX(EXT_Budget!$K$4:$K$13,B34)</f>
        <v/>
      </c>
      <c r="E34" s="23">
        <f>INDEX(Inputs!$E$23:$E$32,B34)*Inputs!$B$4^(C34-1)</f>
        <v/>
      </c>
      <c r="F34" s="23">
        <f>IF(C34&lt;9,Inputs!$B$8*E34,Inputs!$B$9*Inputs!$B$8*INDEX(Inputs!$E$23:$E$32,B34)*Inputs!$B$4^7)</f>
        <v/>
      </c>
      <c r="G34" s="23">
        <f>IF(C34=1,F34/Inputs!$B$4,F33)</f>
        <v/>
      </c>
      <c r="H34" s="23">
        <f>IF(C34=1,G34,Inputs!$B$7*F33)</f>
        <v/>
      </c>
      <c r="I34" s="24">
        <f>H34/D34/3600</f>
        <v/>
      </c>
      <c r="J34" s="24">
        <f>(F34-G34)/(Inputs!$B$6*D34)/3600</f>
        <v/>
      </c>
      <c r="K34" s="24">
        <f>I34+J34</f>
        <v/>
      </c>
      <c r="L34" s="22">
        <f>L33+K34</f>
        <v/>
      </c>
      <c r="M34" s="25">
        <f>L34/(Inputs!$B$10*Inputs!$B$11)</f>
        <v/>
      </c>
      <c r="N34" s="21">
        <f>(L34-K34)/(Inputs!$B$10*Inputs!$B$11)</f>
        <v/>
      </c>
    </row>
    <row r="35">
      <c r="A35" s="19">
        <f>Inputs!$C$26&amp;" 5"</f>
        <v/>
      </c>
      <c r="B35" s="7" t="n">
        <v>4</v>
      </c>
      <c r="C35" s="7" t="n">
        <v>5</v>
      </c>
      <c r="D35" s="22">
        <f>INDEX(Inputs!$F$23:$F$32,B35)*Inputs!$B$5^(C35-1)*INDEX(EXT_Budget!$K$4:$K$13,B35)</f>
        <v/>
      </c>
      <c r="E35" s="23">
        <f>INDEX(Inputs!$E$23:$E$32,B35)*Inputs!$B$4^(C35-1)</f>
        <v/>
      </c>
      <c r="F35" s="23">
        <f>IF(C35&lt;9,Inputs!$B$8*E35,Inputs!$B$9*Inputs!$B$8*INDEX(Inputs!$E$23:$E$32,B35)*Inputs!$B$4^7)</f>
        <v/>
      </c>
      <c r="G35" s="23">
        <f>IF(C35=1,F35/Inputs!$B$4,F34)</f>
        <v/>
      </c>
      <c r="H35" s="23">
        <f>IF(C35=1,G35,Inputs!$B$7*F34)</f>
        <v/>
      </c>
      <c r="I35" s="24">
        <f>H35/D35/3600</f>
        <v/>
      </c>
      <c r="J35" s="24">
        <f>(F35-G35)/(Inputs!$B$6*D35)/3600</f>
        <v/>
      </c>
      <c r="K35" s="24">
        <f>I35+J35</f>
        <v/>
      </c>
      <c r="L35" s="22">
        <f>L34+K35</f>
        <v/>
      </c>
      <c r="M35" s="25">
        <f>L35/(Inputs!$B$10*Inputs!$B$11)</f>
        <v/>
      </c>
      <c r="N35" s="21">
        <f>(L35-K35)/(Inputs!$B$10*Inputs!$B$11)</f>
        <v/>
      </c>
    </row>
    <row r="36">
      <c r="A36" s="19">
        <f>Inputs!$C$26&amp;" 6"</f>
        <v/>
      </c>
      <c r="B36" s="7" t="n">
        <v>4</v>
      </c>
      <c r="C36" s="7" t="n">
        <v>6</v>
      </c>
      <c r="D36" s="22">
        <f>INDEX(Inputs!$F$23:$F$32,B36)*Inputs!$B$5^(C36-1)*INDEX(EXT_Budget!$K$4:$K$13,B36)</f>
        <v/>
      </c>
      <c r="E36" s="23">
        <f>INDEX(Inputs!$E$23:$E$32,B36)*Inputs!$B$4^(C36-1)</f>
        <v/>
      </c>
      <c r="F36" s="23">
        <f>IF(C36&lt;9,Inputs!$B$8*E36,Inputs!$B$9*Inputs!$B$8*INDEX(Inputs!$E$23:$E$32,B36)*Inputs!$B$4^7)</f>
        <v/>
      </c>
      <c r="G36" s="23">
        <f>IF(C36=1,F36/Inputs!$B$4,F35)</f>
        <v/>
      </c>
      <c r="H36" s="23">
        <f>IF(C36=1,G36,Inputs!$B$7*F35)</f>
        <v/>
      </c>
      <c r="I36" s="24">
        <f>H36/D36/3600</f>
        <v/>
      </c>
      <c r="J36" s="24">
        <f>(F36-G36)/(Inputs!$B$6*D36)/3600</f>
        <v/>
      </c>
      <c r="K36" s="24">
        <f>I36+J36</f>
        <v/>
      </c>
      <c r="L36" s="22">
        <f>L35+K36</f>
        <v/>
      </c>
      <c r="M36" s="25">
        <f>L36/(Inputs!$B$10*Inputs!$B$11)</f>
        <v/>
      </c>
      <c r="N36" s="21">
        <f>(L36-K36)/(Inputs!$B$10*Inputs!$B$11)</f>
        <v/>
      </c>
    </row>
    <row r="37">
      <c r="A37" s="19">
        <f>Inputs!$C$26&amp;" 7"</f>
        <v/>
      </c>
      <c r="B37" s="7" t="n">
        <v>4</v>
      </c>
      <c r="C37" s="7" t="n">
        <v>7</v>
      </c>
      <c r="D37" s="22">
        <f>INDEX(Inputs!$F$23:$F$32,B37)*Inputs!$B$5^(C37-1)*INDEX(EXT_Budget!$K$4:$K$13,B37)</f>
        <v/>
      </c>
      <c r="E37" s="23">
        <f>INDEX(Inputs!$E$23:$E$32,B37)*Inputs!$B$4^(C37-1)</f>
        <v/>
      </c>
      <c r="F37" s="23">
        <f>IF(C37&lt;9,Inputs!$B$8*E37,Inputs!$B$9*Inputs!$B$8*INDEX(Inputs!$E$23:$E$32,B37)*Inputs!$B$4^7)</f>
        <v/>
      </c>
      <c r="G37" s="23">
        <f>IF(C37=1,F37/Inputs!$B$4,F36)</f>
        <v/>
      </c>
      <c r="H37" s="23">
        <f>IF(C37=1,G37,Inputs!$B$7*F36)</f>
        <v/>
      </c>
      <c r="I37" s="24">
        <f>H37/D37/3600</f>
        <v/>
      </c>
      <c r="J37" s="24">
        <f>(F37-G37)/(Inputs!$B$6*D37)/3600</f>
        <v/>
      </c>
      <c r="K37" s="24">
        <f>I37+J37</f>
        <v/>
      </c>
      <c r="L37" s="22">
        <f>L36+K37</f>
        <v/>
      </c>
      <c r="M37" s="25">
        <f>L37/(Inputs!$B$10*Inputs!$B$11)</f>
        <v/>
      </c>
      <c r="N37" s="21">
        <f>(L37-K37)/(Inputs!$B$10*Inputs!$B$11)</f>
        <v/>
      </c>
    </row>
    <row r="38">
      <c r="A38" s="19">
        <f>Inputs!$C$26&amp;" 8"</f>
        <v/>
      </c>
      <c r="B38" s="7" t="n">
        <v>4</v>
      </c>
      <c r="C38" s="7" t="n">
        <v>8</v>
      </c>
      <c r="D38" s="22">
        <f>INDEX(Inputs!$F$23:$F$32,B38)*Inputs!$B$5^(C38-1)*INDEX(EXT_Budget!$K$4:$K$13,B38)</f>
        <v/>
      </c>
      <c r="E38" s="23">
        <f>INDEX(Inputs!$E$23:$E$32,B38)*Inputs!$B$4^(C38-1)</f>
        <v/>
      </c>
      <c r="F38" s="23">
        <f>IF(C38&lt;9,Inputs!$B$8*E38,Inputs!$B$9*Inputs!$B$8*INDEX(Inputs!$E$23:$E$32,B38)*Inputs!$B$4^7)</f>
        <v/>
      </c>
      <c r="G38" s="23">
        <f>IF(C38=1,F38/Inputs!$B$4,F37)</f>
        <v/>
      </c>
      <c r="H38" s="23">
        <f>IF(C38=1,G38,Inputs!$B$7*F37)</f>
        <v/>
      </c>
      <c r="I38" s="24">
        <f>H38/D38/3600</f>
        <v/>
      </c>
      <c r="J38" s="24">
        <f>(F38-G38)/(Inputs!$B$6*D38)/3600</f>
        <v/>
      </c>
      <c r="K38" s="24">
        <f>I38+J38</f>
        <v/>
      </c>
      <c r="L38" s="22">
        <f>L37+K38</f>
        <v/>
      </c>
      <c r="M38" s="25">
        <f>L38/(Inputs!$B$10*Inputs!$B$11)</f>
        <v/>
      </c>
      <c r="N38" s="21">
        <f>(L38-K38)/(Inputs!$B$10*Inputs!$B$11)</f>
        <v/>
      </c>
    </row>
    <row r="39">
      <c r="A39" s="19">
        <f>Inputs!$C$26&amp;" 9"</f>
        <v/>
      </c>
      <c r="B39" s="7" t="n">
        <v>4</v>
      </c>
      <c r="C39" s="7" t="n">
        <v>9</v>
      </c>
      <c r="D39" s="22">
        <f>INDEX(Inputs!$F$23:$F$32,B39)*Inputs!$B$5^(C39-1)*INDEX(EXT_Budget!$K$4:$K$13,B39)</f>
        <v/>
      </c>
      <c r="E39" s="23">
        <f>INDEX(Inputs!$E$23:$E$32,B39)*Inputs!$B$4^(C39-1)</f>
        <v/>
      </c>
      <c r="F39" s="23">
        <f>IF(C39&lt;9,Inputs!$B$8*E39,Inputs!$B$9*Inputs!$B$8*INDEX(Inputs!$E$23:$E$32,B39)*Inputs!$B$4^7)</f>
        <v/>
      </c>
      <c r="G39" s="23">
        <f>IF(C39=1,F39/Inputs!$B$4,F38)</f>
        <v/>
      </c>
      <c r="H39" s="23">
        <f>IF(C39=1,G39,Inputs!$B$7*F38)</f>
        <v/>
      </c>
      <c r="I39" s="24">
        <f>H39/D39/3600</f>
        <v/>
      </c>
      <c r="J39" s="24">
        <f>(F39-G39)/(Inputs!$B$6*D39)/3600</f>
        <v/>
      </c>
      <c r="K39" s="24">
        <f>I39+J39</f>
        <v/>
      </c>
      <c r="L39" s="22">
        <f>L38+K39</f>
        <v/>
      </c>
      <c r="M39" s="25">
        <f>L39/(Inputs!$B$10*Inputs!$B$11)</f>
        <v/>
      </c>
      <c r="N39" s="21">
        <f>(L39-K39)/(Inputs!$B$10*Inputs!$B$11)</f>
        <v/>
      </c>
    </row>
    <row r="40">
      <c r="A40" s="19">
        <f>Inputs!$C$27&amp;" 1"</f>
        <v/>
      </c>
      <c r="B40" s="7" t="n">
        <v>5</v>
      </c>
      <c r="C40" s="7" t="n">
        <v>1</v>
      </c>
      <c r="D40" s="22">
        <f>INDEX(Inputs!$F$23:$F$32,B40)*Inputs!$B$5^(C40-1)*INDEX(EXT_Budget!$K$4:$K$13,B40)</f>
        <v/>
      </c>
      <c r="E40" s="23">
        <f>INDEX(Inputs!$E$23:$E$32,B40)*Inputs!$B$4^(C40-1)</f>
        <v/>
      </c>
      <c r="F40" s="23">
        <f>IF(C40&lt;9,Inputs!$B$8*E40,Inputs!$B$9*Inputs!$B$8*INDEX(Inputs!$E$23:$E$32,B40)*Inputs!$B$4^7)</f>
        <v/>
      </c>
      <c r="G40" s="23">
        <f>IF(C40=1,F40/Inputs!$B$4,F39)</f>
        <v/>
      </c>
      <c r="H40" s="23">
        <f>IF(C40=1,G40,Inputs!$B$7*F39)</f>
        <v/>
      </c>
      <c r="I40" s="24">
        <f>H40/D40/3600</f>
        <v/>
      </c>
      <c r="J40" s="24">
        <f>(F40-G40)/(Inputs!$B$6*D40)/3600</f>
        <v/>
      </c>
      <c r="K40" s="24">
        <f>I40+J40</f>
        <v/>
      </c>
      <c r="L40" s="22">
        <f>L39+K40</f>
        <v/>
      </c>
      <c r="M40" s="25">
        <f>L40/(Inputs!$B$10*Inputs!$B$11)</f>
        <v/>
      </c>
      <c r="N40" s="21">
        <f>(L40-K40)/(Inputs!$B$10*Inputs!$B$11)</f>
        <v/>
      </c>
    </row>
    <row r="41">
      <c r="A41" s="19">
        <f>Inputs!$C$27&amp;" 2"</f>
        <v/>
      </c>
      <c r="B41" s="7" t="n">
        <v>5</v>
      </c>
      <c r="C41" s="7" t="n">
        <v>2</v>
      </c>
      <c r="D41" s="22">
        <f>INDEX(Inputs!$F$23:$F$32,B41)*Inputs!$B$5^(C41-1)*INDEX(EXT_Budget!$K$4:$K$13,B41)</f>
        <v/>
      </c>
      <c r="E41" s="23">
        <f>INDEX(Inputs!$E$23:$E$32,B41)*Inputs!$B$4^(C41-1)</f>
        <v/>
      </c>
      <c r="F41" s="23">
        <f>IF(C41&lt;9,Inputs!$B$8*E41,Inputs!$B$9*Inputs!$B$8*INDEX(Inputs!$E$23:$E$32,B41)*Inputs!$B$4^7)</f>
        <v/>
      </c>
      <c r="G41" s="23">
        <f>IF(C41=1,F41/Inputs!$B$4,F40)</f>
        <v/>
      </c>
      <c r="H41" s="23">
        <f>IF(C41=1,G41,Inputs!$B$7*F40)</f>
        <v/>
      </c>
      <c r="I41" s="24">
        <f>H41/D41/3600</f>
        <v/>
      </c>
      <c r="J41" s="24">
        <f>(F41-G41)/(Inputs!$B$6*D41)/3600</f>
        <v/>
      </c>
      <c r="K41" s="24">
        <f>I41+J41</f>
        <v/>
      </c>
      <c r="L41" s="22">
        <f>L40+K41</f>
        <v/>
      </c>
      <c r="M41" s="25">
        <f>L41/(Inputs!$B$10*Inputs!$B$11)</f>
        <v/>
      </c>
      <c r="N41" s="21">
        <f>(L41-K41)/(Inputs!$B$10*Inputs!$B$11)</f>
        <v/>
      </c>
    </row>
    <row r="42">
      <c r="A42" s="19">
        <f>Inputs!$C$27&amp;" 3"</f>
        <v/>
      </c>
      <c r="B42" s="7" t="n">
        <v>5</v>
      </c>
      <c r="C42" s="7" t="n">
        <v>3</v>
      </c>
      <c r="D42" s="22">
        <f>INDEX(Inputs!$F$23:$F$32,B42)*Inputs!$B$5^(C42-1)*INDEX(EXT_Budget!$K$4:$K$13,B42)</f>
        <v/>
      </c>
      <c r="E42" s="23">
        <f>INDEX(Inputs!$E$23:$E$32,B42)*Inputs!$B$4^(C42-1)</f>
        <v/>
      </c>
      <c r="F42" s="23">
        <f>IF(C42&lt;9,Inputs!$B$8*E42,Inputs!$B$9*Inputs!$B$8*INDEX(Inputs!$E$23:$E$32,B42)*Inputs!$B$4^7)</f>
        <v/>
      </c>
      <c r="G42" s="23">
        <f>IF(C42=1,F42/Inputs!$B$4,F41)</f>
        <v/>
      </c>
      <c r="H42" s="23">
        <f>IF(C42=1,G42,Inputs!$B$7*F41)</f>
        <v/>
      </c>
      <c r="I42" s="24">
        <f>H42/D42/3600</f>
        <v/>
      </c>
      <c r="J42" s="24">
        <f>(F42-G42)/(Inputs!$B$6*D42)/3600</f>
        <v/>
      </c>
      <c r="K42" s="24">
        <f>I42+J42</f>
        <v/>
      </c>
      <c r="L42" s="22">
        <f>L41+K42</f>
        <v/>
      </c>
      <c r="M42" s="25">
        <f>L42/(Inputs!$B$10*Inputs!$B$11)</f>
        <v/>
      </c>
      <c r="N42" s="21">
        <f>(L42-K42)/(Inputs!$B$10*Inputs!$B$11)</f>
        <v/>
      </c>
    </row>
    <row r="43">
      <c r="A43" s="19">
        <f>Inputs!$C$27&amp;" 4"</f>
        <v/>
      </c>
      <c r="B43" s="7" t="n">
        <v>5</v>
      </c>
      <c r="C43" s="7" t="n">
        <v>4</v>
      </c>
      <c r="D43" s="22">
        <f>INDEX(Inputs!$F$23:$F$32,B43)*Inputs!$B$5^(C43-1)*INDEX(EXT_Budget!$K$4:$K$13,B43)</f>
        <v/>
      </c>
      <c r="E43" s="23">
        <f>INDEX(Inputs!$E$23:$E$32,B43)*Inputs!$B$4^(C43-1)</f>
        <v/>
      </c>
      <c r="F43" s="23">
        <f>IF(C43&lt;9,Inputs!$B$8*E43,Inputs!$B$9*Inputs!$B$8*INDEX(Inputs!$E$23:$E$32,B43)*Inputs!$B$4^7)</f>
        <v/>
      </c>
      <c r="G43" s="23">
        <f>IF(C43=1,F43/Inputs!$B$4,F42)</f>
        <v/>
      </c>
      <c r="H43" s="23">
        <f>IF(C43=1,G43,Inputs!$B$7*F42)</f>
        <v/>
      </c>
      <c r="I43" s="24">
        <f>H43/D43/3600</f>
        <v/>
      </c>
      <c r="J43" s="24">
        <f>(F43-G43)/(Inputs!$B$6*D43)/3600</f>
        <v/>
      </c>
      <c r="K43" s="24">
        <f>I43+J43</f>
        <v/>
      </c>
      <c r="L43" s="22">
        <f>L42+K43</f>
        <v/>
      </c>
      <c r="M43" s="25">
        <f>L43/(Inputs!$B$10*Inputs!$B$11)</f>
        <v/>
      </c>
      <c r="N43" s="21">
        <f>(L43-K43)/(Inputs!$B$10*Inputs!$B$11)</f>
        <v/>
      </c>
    </row>
    <row r="44">
      <c r="A44" s="19">
        <f>Inputs!$C$27&amp;" 5"</f>
        <v/>
      </c>
      <c r="B44" s="7" t="n">
        <v>5</v>
      </c>
      <c r="C44" s="7" t="n">
        <v>5</v>
      </c>
      <c r="D44" s="22">
        <f>INDEX(Inputs!$F$23:$F$32,B44)*Inputs!$B$5^(C44-1)*INDEX(EXT_Budget!$K$4:$K$13,B44)</f>
        <v/>
      </c>
      <c r="E44" s="23">
        <f>INDEX(Inputs!$E$23:$E$32,B44)*Inputs!$B$4^(C44-1)</f>
        <v/>
      </c>
      <c r="F44" s="23">
        <f>IF(C44&lt;9,Inputs!$B$8*E44,Inputs!$B$9*Inputs!$B$8*INDEX(Inputs!$E$23:$E$32,B44)*Inputs!$B$4^7)</f>
        <v/>
      </c>
      <c r="G44" s="23">
        <f>IF(C44=1,F44/Inputs!$B$4,F43)</f>
        <v/>
      </c>
      <c r="H44" s="23">
        <f>IF(C44=1,G44,Inputs!$B$7*F43)</f>
        <v/>
      </c>
      <c r="I44" s="24">
        <f>H44/D44/3600</f>
        <v/>
      </c>
      <c r="J44" s="24">
        <f>(F44-G44)/(Inputs!$B$6*D44)/3600</f>
        <v/>
      </c>
      <c r="K44" s="24">
        <f>I44+J44</f>
        <v/>
      </c>
      <c r="L44" s="22">
        <f>L43+K44</f>
        <v/>
      </c>
      <c r="M44" s="25">
        <f>L44/(Inputs!$B$10*Inputs!$B$11)</f>
        <v/>
      </c>
      <c r="N44" s="21">
        <f>(L44-K44)/(Inputs!$B$10*Inputs!$B$11)</f>
        <v/>
      </c>
    </row>
    <row r="45">
      <c r="A45" s="19">
        <f>Inputs!$C$27&amp;" 6"</f>
        <v/>
      </c>
      <c r="B45" s="7" t="n">
        <v>5</v>
      </c>
      <c r="C45" s="7" t="n">
        <v>6</v>
      </c>
      <c r="D45" s="22">
        <f>INDEX(Inputs!$F$23:$F$32,B45)*Inputs!$B$5^(C45-1)*INDEX(EXT_Budget!$K$4:$K$13,B45)</f>
        <v/>
      </c>
      <c r="E45" s="23">
        <f>INDEX(Inputs!$E$23:$E$32,B45)*Inputs!$B$4^(C45-1)</f>
        <v/>
      </c>
      <c r="F45" s="23">
        <f>IF(C45&lt;9,Inputs!$B$8*E45,Inputs!$B$9*Inputs!$B$8*INDEX(Inputs!$E$23:$E$32,B45)*Inputs!$B$4^7)</f>
        <v/>
      </c>
      <c r="G45" s="23">
        <f>IF(C45=1,F45/Inputs!$B$4,F44)</f>
        <v/>
      </c>
      <c r="H45" s="23">
        <f>IF(C45=1,G45,Inputs!$B$7*F44)</f>
        <v/>
      </c>
      <c r="I45" s="24">
        <f>H45/D45/3600</f>
        <v/>
      </c>
      <c r="J45" s="24">
        <f>(F45-G45)/(Inputs!$B$6*D45)/3600</f>
        <v/>
      </c>
      <c r="K45" s="24">
        <f>I45+J45</f>
        <v/>
      </c>
      <c r="L45" s="22">
        <f>L44+K45</f>
        <v/>
      </c>
      <c r="M45" s="25">
        <f>L45/(Inputs!$B$10*Inputs!$B$11)</f>
        <v/>
      </c>
      <c r="N45" s="21">
        <f>(L45-K45)/(Inputs!$B$10*Inputs!$B$11)</f>
        <v/>
      </c>
    </row>
    <row r="46">
      <c r="A46" s="19">
        <f>Inputs!$C$27&amp;" 7"</f>
        <v/>
      </c>
      <c r="B46" s="7" t="n">
        <v>5</v>
      </c>
      <c r="C46" s="7" t="n">
        <v>7</v>
      </c>
      <c r="D46" s="22">
        <f>INDEX(Inputs!$F$23:$F$32,B46)*Inputs!$B$5^(C46-1)*INDEX(EXT_Budget!$K$4:$K$13,B46)</f>
        <v/>
      </c>
      <c r="E46" s="23">
        <f>INDEX(Inputs!$E$23:$E$32,B46)*Inputs!$B$4^(C46-1)</f>
        <v/>
      </c>
      <c r="F46" s="23">
        <f>IF(C46&lt;9,Inputs!$B$8*E46,Inputs!$B$9*Inputs!$B$8*INDEX(Inputs!$E$23:$E$32,B46)*Inputs!$B$4^7)</f>
        <v/>
      </c>
      <c r="G46" s="23">
        <f>IF(C46=1,F46/Inputs!$B$4,F45)</f>
        <v/>
      </c>
      <c r="H46" s="23">
        <f>IF(C46=1,G46,Inputs!$B$7*F45)</f>
        <v/>
      </c>
      <c r="I46" s="24">
        <f>H46/D46/3600</f>
        <v/>
      </c>
      <c r="J46" s="24">
        <f>(F46-G46)/(Inputs!$B$6*D46)/3600</f>
        <v/>
      </c>
      <c r="K46" s="24">
        <f>I46+J46</f>
        <v/>
      </c>
      <c r="L46" s="22">
        <f>L45+K46</f>
        <v/>
      </c>
      <c r="M46" s="25">
        <f>L46/(Inputs!$B$10*Inputs!$B$11)</f>
        <v/>
      </c>
      <c r="N46" s="21">
        <f>(L46-K46)/(Inputs!$B$10*Inputs!$B$11)</f>
        <v/>
      </c>
    </row>
    <row r="47">
      <c r="A47" s="19">
        <f>Inputs!$C$27&amp;" 8"</f>
        <v/>
      </c>
      <c r="B47" s="7" t="n">
        <v>5</v>
      </c>
      <c r="C47" s="7" t="n">
        <v>8</v>
      </c>
      <c r="D47" s="22">
        <f>INDEX(Inputs!$F$23:$F$32,B47)*Inputs!$B$5^(C47-1)*INDEX(EXT_Budget!$K$4:$K$13,B47)</f>
        <v/>
      </c>
      <c r="E47" s="23">
        <f>INDEX(Inputs!$E$23:$E$32,B47)*Inputs!$B$4^(C47-1)</f>
        <v/>
      </c>
      <c r="F47" s="23">
        <f>IF(C47&lt;9,Inputs!$B$8*E47,Inputs!$B$9*Inputs!$B$8*INDEX(Inputs!$E$23:$E$32,B47)*Inputs!$B$4^7)</f>
        <v/>
      </c>
      <c r="G47" s="23">
        <f>IF(C47=1,F47/Inputs!$B$4,F46)</f>
        <v/>
      </c>
      <c r="H47" s="23">
        <f>IF(C47=1,G47,Inputs!$B$7*F46)</f>
        <v/>
      </c>
      <c r="I47" s="24">
        <f>H47/D47/3600</f>
        <v/>
      </c>
      <c r="J47" s="24">
        <f>(F47-G47)/(Inputs!$B$6*D47)/3600</f>
        <v/>
      </c>
      <c r="K47" s="24">
        <f>I47+J47</f>
        <v/>
      </c>
      <c r="L47" s="22">
        <f>L46+K47</f>
        <v/>
      </c>
      <c r="M47" s="25">
        <f>L47/(Inputs!$B$10*Inputs!$B$11)</f>
        <v/>
      </c>
      <c r="N47" s="21">
        <f>(L47-K47)/(Inputs!$B$10*Inputs!$B$11)</f>
        <v/>
      </c>
    </row>
    <row r="48">
      <c r="A48" s="19">
        <f>Inputs!$C$27&amp;" 9"</f>
        <v/>
      </c>
      <c r="B48" s="7" t="n">
        <v>5</v>
      </c>
      <c r="C48" s="7" t="n">
        <v>9</v>
      </c>
      <c r="D48" s="22">
        <f>INDEX(Inputs!$F$23:$F$32,B48)*Inputs!$B$5^(C48-1)*INDEX(EXT_Budget!$K$4:$K$13,B48)</f>
        <v/>
      </c>
      <c r="E48" s="23">
        <f>INDEX(Inputs!$E$23:$E$32,B48)*Inputs!$B$4^(C48-1)</f>
        <v/>
      </c>
      <c r="F48" s="23">
        <f>IF(C48&lt;9,Inputs!$B$8*E48,Inputs!$B$9*Inputs!$B$8*INDEX(Inputs!$E$23:$E$32,B48)*Inputs!$B$4^7)</f>
        <v/>
      </c>
      <c r="G48" s="23">
        <f>IF(C48=1,F48/Inputs!$B$4,F47)</f>
        <v/>
      </c>
      <c r="H48" s="23">
        <f>IF(C48=1,G48,Inputs!$B$7*F47)</f>
        <v/>
      </c>
      <c r="I48" s="24">
        <f>H48/D48/3600</f>
        <v/>
      </c>
      <c r="J48" s="24">
        <f>(F48-G48)/(Inputs!$B$6*D48)/3600</f>
        <v/>
      </c>
      <c r="K48" s="24">
        <f>I48+J48</f>
        <v/>
      </c>
      <c r="L48" s="22">
        <f>L47+K48</f>
        <v/>
      </c>
      <c r="M48" s="25">
        <f>L48/(Inputs!$B$10*Inputs!$B$11)</f>
        <v/>
      </c>
      <c r="N48" s="21">
        <f>(L48-K48)/(Inputs!$B$10*Inputs!$B$11)</f>
        <v/>
      </c>
    </row>
    <row r="49">
      <c r="A49" s="19">
        <f>Inputs!$C$28&amp;" 1"</f>
        <v/>
      </c>
      <c r="B49" s="7" t="n">
        <v>6</v>
      </c>
      <c r="C49" s="7" t="n">
        <v>1</v>
      </c>
      <c r="D49" s="22">
        <f>INDEX(Inputs!$F$23:$F$32,B49)*Inputs!$B$5^(C49-1)*INDEX(EXT_Budget!$K$4:$K$13,B49)</f>
        <v/>
      </c>
      <c r="E49" s="23">
        <f>INDEX(Inputs!$E$23:$E$32,B49)*Inputs!$B$4^(C49-1)</f>
        <v/>
      </c>
      <c r="F49" s="23">
        <f>IF(C49&lt;9,Inputs!$B$8*E49,Inputs!$B$9*Inputs!$B$8*INDEX(Inputs!$E$23:$E$32,B49)*Inputs!$B$4^7)</f>
        <v/>
      </c>
      <c r="G49" s="23">
        <f>IF(C49=1,F49/Inputs!$B$4,F48)</f>
        <v/>
      </c>
      <c r="H49" s="23">
        <f>IF(C49=1,G49,Inputs!$B$7*F48)</f>
        <v/>
      </c>
      <c r="I49" s="24">
        <f>H49/D49/3600</f>
        <v/>
      </c>
      <c r="J49" s="24">
        <f>(F49-G49)/(Inputs!$B$6*D49)/3600</f>
        <v/>
      </c>
      <c r="K49" s="24">
        <f>I49+J49</f>
        <v/>
      </c>
      <c r="L49" s="22">
        <f>L48+K49</f>
        <v/>
      </c>
      <c r="M49" s="25">
        <f>L49/(Inputs!$B$10*Inputs!$B$11)</f>
        <v/>
      </c>
      <c r="N49" s="21">
        <f>(L49-K49)/(Inputs!$B$10*Inputs!$B$11)</f>
        <v/>
      </c>
    </row>
    <row r="50">
      <c r="A50" s="19">
        <f>Inputs!$C$28&amp;" 2"</f>
        <v/>
      </c>
      <c r="B50" s="7" t="n">
        <v>6</v>
      </c>
      <c r="C50" s="7" t="n">
        <v>2</v>
      </c>
      <c r="D50" s="22">
        <f>INDEX(Inputs!$F$23:$F$32,B50)*Inputs!$B$5^(C50-1)*INDEX(EXT_Budget!$K$4:$K$13,B50)</f>
        <v/>
      </c>
      <c r="E50" s="23">
        <f>INDEX(Inputs!$E$23:$E$32,B50)*Inputs!$B$4^(C50-1)</f>
        <v/>
      </c>
      <c r="F50" s="23">
        <f>IF(C50&lt;9,Inputs!$B$8*E50,Inputs!$B$9*Inputs!$B$8*INDEX(Inputs!$E$23:$E$32,B50)*Inputs!$B$4^7)</f>
        <v/>
      </c>
      <c r="G50" s="23">
        <f>IF(C50=1,F50/Inputs!$B$4,F49)</f>
        <v/>
      </c>
      <c r="H50" s="23">
        <f>IF(C50=1,G50,Inputs!$B$7*F49)</f>
        <v/>
      </c>
      <c r="I50" s="24">
        <f>H50/D50/3600</f>
        <v/>
      </c>
      <c r="J50" s="24">
        <f>(F50-G50)/(Inputs!$B$6*D50)/3600</f>
        <v/>
      </c>
      <c r="K50" s="24">
        <f>I50+J50</f>
        <v/>
      </c>
      <c r="L50" s="22">
        <f>L49+K50</f>
        <v/>
      </c>
      <c r="M50" s="25">
        <f>L50/(Inputs!$B$10*Inputs!$B$11)</f>
        <v/>
      </c>
      <c r="N50" s="21">
        <f>(L50-K50)/(Inputs!$B$10*Inputs!$B$11)</f>
        <v/>
      </c>
    </row>
    <row r="51">
      <c r="A51" s="19">
        <f>Inputs!$C$28&amp;" 3"</f>
        <v/>
      </c>
      <c r="B51" s="7" t="n">
        <v>6</v>
      </c>
      <c r="C51" s="7" t="n">
        <v>3</v>
      </c>
      <c r="D51" s="22">
        <f>INDEX(Inputs!$F$23:$F$32,B51)*Inputs!$B$5^(C51-1)*INDEX(EXT_Budget!$K$4:$K$13,B51)</f>
        <v/>
      </c>
      <c r="E51" s="23">
        <f>INDEX(Inputs!$E$23:$E$32,B51)*Inputs!$B$4^(C51-1)</f>
        <v/>
      </c>
      <c r="F51" s="23">
        <f>IF(C51&lt;9,Inputs!$B$8*E51,Inputs!$B$9*Inputs!$B$8*INDEX(Inputs!$E$23:$E$32,B51)*Inputs!$B$4^7)</f>
        <v/>
      </c>
      <c r="G51" s="23">
        <f>IF(C51=1,F51/Inputs!$B$4,F50)</f>
        <v/>
      </c>
      <c r="H51" s="23">
        <f>IF(C51=1,G51,Inputs!$B$7*F50)</f>
        <v/>
      </c>
      <c r="I51" s="24">
        <f>H51/D51/3600</f>
        <v/>
      </c>
      <c r="J51" s="24">
        <f>(F51-G51)/(Inputs!$B$6*D51)/3600</f>
        <v/>
      </c>
      <c r="K51" s="24">
        <f>I51+J51</f>
        <v/>
      </c>
      <c r="L51" s="22">
        <f>L50+K51</f>
        <v/>
      </c>
      <c r="M51" s="25">
        <f>L51/(Inputs!$B$10*Inputs!$B$11)</f>
        <v/>
      </c>
      <c r="N51" s="21">
        <f>(L51-K51)/(Inputs!$B$10*Inputs!$B$11)</f>
        <v/>
      </c>
    </row>
    <row r="52">
      <c r="A52" s="19">
        <f>Inputs!$C$28&amp;" 4"</f>
        <v/>
      </c>
      <c r="B52" s="7" t="n">
        <v>6</v>
      </c>
      <c r="C52" s="7" t="n">
        <v>4</v>
      </c>
      <c r="D52" s="22">
        <f>INDEX(Inputs!$F$23:$F$32,B52)*Inputs!$B$5^(C52-1)*INDEX(EXT_Budget!$K$4:$K$13,B52)</f>
        <v/>
      </c>
      <c r="E52" s="23">
        <f>INDEX(Inputs!$E$23:$E$32,B52)*Inputs!$B$4^(C52-1)</f>
        <v/>
      </c>
      <c r="F52" s="23">
        <f>IF(C52&lt;9,Inputs!$B$8*E52,Inputs!$B$9*Inputs!$B$8*INDEX(Inputs!$E$23:$E$32,B52)*Inputs!$B$4^7)</f>
        <v/>
      </c>
      <c r="G52" s="23">
        <f>IF(C52=1,F52/Inputs!$B$4,F51)</f>
        <v/>
      </c>
      <c r="H52" s="23">
        <f>IF(C52=1,G52,Inputs!$B$7*F51)</f>
        <v/>
      </c>
      <c r="I52" s="24">
        <f>H52/D52/3600</f>
        <v/>
      </c>
      <c r="J52" s="24">
        <f>(F52-G52)/(Inputs!$B$6*D52)/3600</f>
        <v/>
      </c>
      <c r="K52" s="24">
        <f>I52+J52</f>
        <v/>
      </c>
      <c r="L52" s="22">
        <f>L51+K52</f>
        <v/>
      </c>
      <c r="M52" s="25">
        <f>L52/(Inputs!$B$10*Inputs!$B$11)</f>
        <v/>
      </c>
      <c r="N52" s="21">
        <f>(L52-K52)/(Inputs!$B$10*Inputs!$B$11)</f>
        <v/>
      </c>
    </row>
    <row r="53">
      <c r="A53" s="19">
        <f>Inputs!$C$28&amp;" 5"</f>
        <v/>
      </c>
      <c r="B53" s="7" t="n">
        <v>6</v>
      </c>
      <c r="C53" s="7" t="n">
        <v>5</v>
      </c>
      <c r="D53" s="22">
        <f>INDEX(Inputs!$F$23:$F$32,B53)*Inputs!$B$5^(C53-1)*INDEX(EXT_Budget!$K$4:$K$13,B53)</f>
        <v/>
      </c>
      <c r="E53" s="23">
        <f>INDEX(Inputs!$E$23:$E$32,B53)*Inputs!$B$4^(C53-1)</f>
        <v/>
      </c>
      <c r="F53" s="23">
        <f>IF(C53&lt;9,Inputs!$B$8*E53,Inputs!$B$9*Inputs!$B$8*INDEX(Inputs!$E$23:$E$32,B53)*Inputs!$B$4^7)</f>
        <v/>
      </c>
      <c r="G53" s="23">
        <f>IF(C53=1,F53/Inputs!$B$4,F52)</f>
        <v/>
      </c>
      <c r="H53" s="23">
        <f>IF(C53=1,G53,Inputs!$B$7*F52)</f>
        <v/>
      </c>
      <c r="I53" s="24">
        <f>H53/D53/3600</f>
        <v/>
      </c>
      <c r="J53" s="24">
        <f>(F53-G53)/(Inputs!$B$6*D53)/3600</f>
        <v/>
      </c>
      <c r="K53" s="24">
        <f>I53+J53</f>
        <v/>
      </c>
      <c r="L53" s="22">
        <f>L52+K53</f>
        <v/>
      </c>
      <c r="M53" s="25">
        <f>L53/(Inputs!$B$10*Inputs!$B$11)</f>
        <v/>
      </c>
      <c r="N53" s="21">
        <f>(L53-K53)/(Inputs!$B$10*Inputs!$B$11)</f>
        <v/>
      </c>
    </row>
    <row r="54">
      <c r="A54" s="19">
        <f>Inputs!$C$28&amp;" 6"</f>
        <v/>
      </c>
      <c r="B54" s="7" t="n">
        <v>6</v>
      </c>
      <c r="C54" s="7" t="n">
        <v>6</v>
      </c>
      <c r="D54" s="22">
        <f>INDEX(Inputs!$F$23:$F$32,B54)*Inputs!$B$5^(C54-1)*INDEX(EXT_Budget!$K$4:$K$13,B54)</f>
        <v/>
      </c>
      <c r="E54" s="23">
        <f>INDEX(Inputs!$E$23:$E$32,B54)*Inputs!$B$4^(C54-1)</f>
        <v/>
      </c>
      <c r="F54" s="23">
        <f>IF(C54&lt;9,Inputs!$B$8*E54,Inputs!$B$9*Inputs!$B$8*INDEX(Inputs!$E$23:$E$32,B54)*Inputs!$B$4^7)</f>
        <v/>
      </c>
      <c r="G54" s="23">
        <f>IF(C54=1,F54/Inputs!$B$4,F53)</f>
        <v/>
      </c>
      <c r="H54" s="23">
        <f>IF(C54=1,G54,Inputs!$B$7*F53)</f>
        <v/>
      </c>
      <c r="I54" s="24">
        <f>H54/D54/3600</f>
        <v/>
      </c>
      <c r="J54" s="24">
        <f>(F54-G54)/(Inputs!$B$6*D54)/3600</f>
        <v/>
      </c>
      <c r="K54" s="24">
        <f>I54+J54</f>
        <v/>
      </c>
      <c r="L54" s="22">
        <f>L53+K54</f>
        <v/>
      </c>
      <c r="M54" s="25">
        <f>L54/(Inputs!$B$10*Inputs!$B$11)</f>
        <v/>
      </c>
      <c r="N54" s="21">
        <f>(L54-K54)/(Inputs!$B$10*Inputs!$B$11)</f>
        <v/>
      </c>
    </row>
    <row r="55">
      <c r="A55" s="19">
        <f>Inputs!$C$28&amp;" 7"</f>
        <v/>
      </c>
      <c r="B55" s="7" t="n">
        <v>6</v>
      </c>
      <c r="C55" s="7" t="n">
        <v>7</v>
      </c>
      <c r="D55" s="22">
        <f>INDEX(Inputs!$F$23:$F$32,B55)*Inputs!$B$5^(C55-1)*INDEX(EXT_Budget!$K$4:$K$13,B55)</f>
        <v/>
      </c>
      <c r="E55" s="23">
        <f>INDEX(Inputs!$E$23:$E$32,B55)*Inputs!$B$4^(C55-1)</f>
        <v/>
      </c>
      <c r="F55" s="23">
        <f>IF(C55&lt;9,Inputs!$B$8*E55,Inputs!$B$9*Inputs!$B$8*INDEX(Inputs!$E$23:$E$32,B55)*Inputs!$B$4^7)</f>
        <v/>
      </c>
      <c r="G55" s="23">
        <f>IF(C55=1,F55/Inputs!$B$4,F54)</f>
        <v/>
      </c>
      <c r="H55" s="23">
        <f>IF(C55=1,G55,Inputs!$B$7*F54)</f>
        <v/>
      </c>
      <c r="I55" s="24">
        <f>H55/D55/3600</f>
        <v/>
      </c>
      <c r="J55" s="24">
        <f>(F55-G55)/(Inputs!$B$6*D55)/3600</f>
        <v/>
      </c>
      <c r="K55" s="24">
        <f>I55+J55</f>
        <v/>
      </c>
      <c r="L55" s="22">
        <f>L54+K55</f>
        <v/>
      </c>
      <c r="M55" s="25">
        <f>L55/(Inputs!$B$10*Inputs!$B$11)</f>
        <v/>
      </c>
      <c r="N55" s="21">
        <f>(L55-K55)/(Inputs!$B$10*Inputs!$B$11)</f>
        <v/>
      </c>
    </row>
    <row r="56">
      <c r="A56" s="19">
        <f>Inputs!$C$28&amp;" 8"</f>
        <v/>
      </c>
      <c r="B56" s="7" t="n">
        <v>6</v>
      </c>
      <c r="C56" s="7" t="n">
        <v>8</v>
      </c>
      <c r="D56" s="22">
        <f>INDEX(Inputs!$F$23:$F$32,B56)*Inputs!$B$5^(C56-1)*INDEX(EXT_Budget!$K$4:$K$13,B56)</f>
        <v/>
      </c>
      <c r="E56" s="23">
        <f>INDEX(Inputs!$E$23:$E$32,B56)*Inputs!$B$4^(C56-1)</f>
        <v/>
      </c>
      <c r="F56" s="23">
        <f>IF(C56&lt;9,Inputs!$B$8*E56,Inputs!$B$9*Inputs!$B$8*INDEX(Inputs!$E$23:$E$32,B56)*Inputs!$B$4^7)</f>
        <v/>
      </c>
      <c r="G56" s="23">
        <f>IF(C56=1,F56/Inputs!$B$4,F55)</f>
        <v/>
      </c>
      <c r="H56" s="23">
        <f>IF(C56=1,G56,Inputs!$B$7*F55)</f>
        <v/>
      </c>
      <c r="I56" s="24">
        <f>H56/D56/3600</f>
        <v/>
      </c>
      <c r="J56" s="24">
        <f>(F56-G56)/(Inputs!$B$6*D56)/3600</f>
        <v/>
      </c>
      <c r="K56" s="24">
        <f>I56+J56</f>
        <v/>
      </c>
      <c r="L56" s="22">
        <f>L55+K56</f>
        <v/>
      </c>
      <c r="M56" s="25">
        <f>L56/(Inputs!$B$10*Inputs!$B$11)</f>
        <v/>
      </c>
      <c r="N56" s="21">
        <f>(L56-K56)/(Inputs!$B$10*Inputs!$B$11)</f>
        <v/>
      </c>
    </row>
    <row r="57">
      <c r="A57" s="19">
        <f>Inputs!$C$28&amp;" 9"</f>
        <v/>
      </c>
      <c r="B57" s="7" t="n">
        <v>6</v>
      </c>
      <c r="C57" s="7" t="n">
        <v>9</v>
      </c>
      <c r="D57" s="22">
        <f>INDEX(Inputs!$F$23:$F$32,B57)*Inputs!$B$5^(C57-1)*INDEX(EXT_Budget!$K$4:$K$13,B57)</f>
        <v/>
      </c>
      <c r="E57" s="23">
        <f>INDEX(Inputs!$E$23:$E$32,B57)*Inputs!$B$4^(C57-1)</f>
        <v/>
      </c>
      <c r="F57" s="23">
        <f>IF(C57&lt;9,Inputs!$B$8*E57,Inputs!$B$9*Inputs!$B$8*INDEX(Inputs!$E$23:$E$32,B57)*Inputs!$B$4^7)</f>
        <v/>
      </c>
      <c r="G57" s="23">
        <f>IF(C57=1,F57/Inputs!$B$4,F56)</f>
        <v/>
      </c>
      <c r="H57" s="23">
        <f>IF(C57=1,G57,Inputs!$B$7*F56)</f>
        <v/>
      </c>
      <c r="I57" s="24">
        <f>H57/D57/3600</f>
        <v/>
      </c>
      <c r="J57" s="24">
        <f>(F57-G57)/(Inputs!$B$6*D57)/3600</f>
        <v/>
      </c>
      <c r="K57" s="24">
        <f>I57+J57</f>
        <v/>
      </c>
      <c r="L57" s="22">
        <f>L56+K57</f>
        <v/>
      </c>
      <c r="M57" s="25">
        <f>L57/(Inputs!$B$10*Inputs!$B$11)</f>
        <v/>
      </c>
      <c r="N57" s="21">
        <f>(L57-K57)/(Inputs!$B$10*Inputs!$B$11)</f>
        <v/>
      </c>
    </row>
    <row r="58">
      <c r="A58" s="19">
        <f>Inputs!$C$29&amp;" 1"</f>
        <v/>
      </c>
      <c r="B58" s="7" t="n">
        <v>7</v>
      </c>
      <c r="C58" s="7" t="n">
        <v>1</v>
      </c>
      <c r="D58" s="22">
        <f>INDEX(Inputs!$F$23:$F$32,B58)*Inputs!$B$5^(C58-1)*INDEX(EXT_Budget!$K$4:$K$13,B58)</f>
        <v/>
      </c>
      <c r="E58" s="23">
        <f>INDEX(Inputs!$E$23:$E$32,B58)*Inputs!$B$4^(C58-1)</f>
        <v/>
      </c>
      <c r="F58" s="23">
        <f>IF(C58&lt;9,Inputs!$B$8*E58,Inputs!$B$9*Inputs!$B$8*INDEX(Inputs!$E$23:$E$32,B58)*Inputs!$B$4^7)</f>
        <v/>
      </c>
      <c r="G58" s="23">
        <f>IF(C58=1,F58/Inputs!$B$4,F57)</f>
        <v/>
      </c>
      <c r="H58" s="23">
        <f>IF(C58=1,G58,Inputs!$B$7*F57)</f>
        <v/>
      </c>
      <c r="I58" s="24">
        <f>H58/D58/3600</f>
        <v/>
      </c>
      <c r="J58" s="24">
        <f>(F58-G58)/(Inputs!$B$6*D58)/3600</f>
        <v/>
      </c>
      <c r="K58" s="24">
        <f>I58+J58</f>
        <v/>
      </c>
      <c r="L58" s="22">
        <f>L57+K58</f>
        <v/>
      </c>
      <c r="M58" s="25">
        <f>L58/(Inputs!$B$10*Inputs!$B$11)</f>
        <v/>
      </c>
      <c r="N58" s="21">
        <f>(L58-K58)/(Inputs!$B$10*Inputs!$B$11)</f>
        <v/>
      </c>
    </row>
    <row r="59">
      <c r="A59" s="19">
        <f>Inputs!$C$29&amp;" 2"</f>
        <v/>
      </c>
      <c r="B59" s="7" t="n">
        <v>7</v>
      </c>
      <c r="C59" s="7" t="n">
        <v>2</v>
      </c>
      <c r="D59" s="22">
        <f>INDEX(Inputs!$F$23:$F$32,B59)*Inputs!$B$5^(C59-1)*INDEX(EXT_Budget!$K$4:$K$13,B59)</f>
        <v/>
      </c>
      <c r="E59" s="23">
        <f>INDEX(Inputs!$E$23:$E$32,B59)*Inputs!$B$4^(C59-1)</f>
        <v/>
      </c>
      <c r="F59" s="23">
        <f>IF(C59&lt;9,Inputs!$B$8*E59,Inputs!$B$9*Inputs!$B$8*INDEX(Inputs!$E$23:$E$32,B59)*Inputs!$B$4^7)</f>
        <v/>
      </c>
      <c r="G59" s="23">
        <f>IF(C59=1,F59/Inputs!$B$4,F58)</f>
        <v/>
      </c>
      <c r="H59" s="23">
        <f>IF(C59=1,G59,Inputs!$B$7*F58)</f>
        <v/>
      </c>
      <c r="I59" s="24">
        <f>H59/D59/3600</f>
        <v/>
      </c>
      <c r="J59" s="24">
        <f>(F59-G59)/(Inputs!$B$6*D59)/3600</f>
        <v/>
      </c>
      <c r="K59" s="24">
        <f>I59+J59</f>
        <v/>
      </c>
      <c r="L59" s="22">
        <f>L58+K59</f>
        <v/>
      </c>
      <c r="M59" s="25">
        <f>L59/(Inputs!$B$10*Inputs!$B$11)</f>
        <v/>
      </c>
      <c r="N59" s="21">
        <f>(L59-K59)/(Inputs!$B$10*Inputs!$B$11)</f>
        <v/>
      </c>
    </row>
    <row r="60">
      <c r="A60" s="19">
        <f>Inputs!$C$29&amp;" 3"</f>
        <v/>
      </c>
      <c r="B60" s="7" t="n">
        <v>7</v>
      </c>
      <c r="C60" s="7" t="n">
        <v>3</v>
      </c>
      <c r="D60" s="22">
        <f>INDEX(Inputs!$F$23:$F$32,B60)*Inputs!$B$5^(C60-1)*INDEX(EXT_Budget!$K$4:$K$13,B60)</f>
        <v/>
      </c>
      <c r="E60" s="23">
        <f>INDEX(Inputs!$E$23:$E$32,B60)*Inputs!$B$4^(C60-1)</f>
        <v/>
      </c>
      <c r="F60" s="23">
        <f>IF(C60&lt;9,Inputs!$B$8*E60,Inputs!$B$9*Inputs!$B$8*INDEX(Inputs!$E$23:$E$32,B60)*Inputs!$B$4^7)</f>
        <v/>
      </c>
      <c r="G60" s="23">
        <f>IF(C60=1,F60/Inputs!$B$4,F59)</f>
        <v/>
      </c>
      <c r="H60" s="23">
        <f>IF(C60=1,G60,Inputs!$B$7*F59)</f>
        <v/>
      </c>
      <c r="I60" s="24">
        <f>H60/D60/3600</f>
        <v/>
      </c>
      <c r="J60" s="24">
        <f>(F60-G60)/(Inputs!$B$6*D60)/3600</f>
        <v/>
      </c>
      <c r="K60" s="24">
        <f>I60+J60</f>
        <v/>
      </c>
      <c r="L60" s="22">
        <f>L59+K60</f>
        <v/>
      </c>
      <c r="M60" s="25">
        <f>L60/(Inputs!$B$10*Inputs!$B$11)</f>
        <v/>
      </c>
      <c r="N60" s="21">
        <f>(L60-K60)/(Inputs!$B$10*Inputs!$B$11)</f>
        <v/>
      </c>
    </row>
    <row r="61">
      <c r="A61" s="19">
        <f>Inputs!$C$29&amp;" 4"</f>
        <v/>
      </c>
      <c r="B61" s="7" t="n">
        <v>7</v>
      </c>
      <c r="C61" s="7" t="n">
        <v>4</v>
      </c>
      <c r="D61" s="22">
        <f>INDEX(Inputs!$F$23:$F$32,B61)*Inputs!$B$5^(C61-1)*INDEX(EXT_Budget!$K$4:$K$13,B61)</f>
        <v/>
      </c>
      <c r="E61" s="23">
        <f>INDEX(Inputs!$E$23:$E$32,B61)*Inputs!$B$4^(C61-1)</f>
        <v/>
      </c>
      <c r="F61" s="23">
        <f>IF(C61&lt;9,Inputs!$B$8*E61,Inputs!$B$9*Inputs!$B$8*INDEX(Inputs!$E$23:$E$32,B61)*Inputs!$B$4^7)</f>
        <v/>
      </c>
      <c r="G61" s="23">
        <f>IF(C61=1,F61/Inputs!$B$4,F60)</f>
        <v/>
      </c>
      <c r="H61" s="23">
        <f>IF(C61=1,G61,Inputs!$B$7*F60)</f>
        <v/>
      </c>
      <c r="I61" s="24">
        <f>H61/D61/3600</f>
        <v/>
      </c>
      <c r="J61" s="24">
        <f>(F61-G61)/(Inputs!$B$6*D61)/3600</f>
        <v/>
      </c>
      <c r="K61" s="24">
        <f>I61+J61</f>
        <v/>
      </c>
      <c r="L61" s="22">
        <f>L60+K61</f>
        <v/>
      </c>
      <c r="M61" s="25">
        <f>L61/(Inputs!$B$10*Inputs!$B$11)</f>
        <v/>
      </c>
      <c r="N61" s="21">
        <f>(L61-K61)/(Inputs!$B$10*Inputs!$B$11)</f>
        <v/>
      </c>
    </row>
    <row r="62">
      <c r="A62" s="19">
        <f>Inputs!$C$29&amp;" 5"</f>
        <v/>
      </c>
      <c r="B62" s="7" t="n">
        <v>7</v>
      </c>
      <c r="C62" s="7" t="n">
        <v>5</v>
      </c>
      <c r="D62" s="22">
        <f>INDEX(Inputs!$F$23:$F$32,B62)*Inputs!$B$5^(C62-1)*INDEX(EXT_Budget!$K$4:$K$13,B62)</f>
        <v/>
      </c>
      <c r="E62" s="23">
        <f>INDEX(Inputs!$E$23:$E$32,B62)*Inputs!$B$4^(C62-1)</f>
        <v/>
      </c>
      <c r="F62" s="23">
        <f>IF(C62&lt;9,Inputs!$B$8*E62,Inputs!$B$9*Inputs!$B$8*INDEX(Inputs!$E$23:$E$32,B62)*Inputs!$B$4^7)</f>
        <v/>
      </c>
      <c r="G62" s="23">
        <f>IF(C62=1,F62/Inputs!$B$4,F61)</f>
        <v/>
      </c>
      <c r="H62" s="23">
        <f>IF(C62=1,G62,Inputs!$B$7*F61)</f>
        <v/>
      </c>
      <c r="I62" s="24">
        <f>H62/D62/3600</f>
        <v/>
      </c>
      <c r="J62" s="24">
        <f>(F62-G62)/(Inputs!$B$6*D62)/3600</f>
        <v/>
      </c>
      <c r="K62" s="24">
        <f>I62+J62</f>
        <v/>
      </c>
      <c r="L62" s="22">
        <f>L61+K62</f>
        <v/>
      </c>
      <c r="M62" s="25">
        <f>L62/(Inputs!$B$10*Inputs!$B$11)</f>
        <v/>
      </c>
      <c r="N62" s="21">
        <f>(L62-K62)/(Inputs!$B$10*Inputs!$B$11)</f>
        <v/>
      </c>
    </row>
    <row r="63">
      <c r="A63" s="19">
        <f>Inputs!$C$29&amp;" 6"</f>
        <v/>
      </c>
      <c r="B63" s="7" t="n">
        <v>7</v>
      </c>
      <c r="C63" s="7" t="n">
        <v>6</v>
      </c>
      <c r="D63" s="22">
        <f>INDEX(Inputs!$F$23:$F$32,B63)*Inputs!$B$5^(C63-1)*INDEX(EXT_Budget!$K$4:$K$13,B63)</f>
        <v/>
      </c>
      <c r="E63" s="23">
        <f>INDEX(Inputs!$E$23:$E$32,B63)*Inputs!$B$4^(C63-1)</f>
        <v/>
      </c>
      <c r="F63" s="23">
        <f>IF(C63&lt;9,Inputs!$B$8*E63,Inputs!$B$9*Inputs!$B$8*INDEX(Inputs!$E$23:$E$32,B63)*Inputs!$B$4^7)</f>
        <v/>
      </c>
      <c r="G63" s="23">
        <f>IF(C63=1,F63/Inputs!$B$4,F62)</f>
        <v/>
      </c>
      <c r="H63" s="23">
        <f>IF(C63=1,G63,Inputs!$B$7*F62)</f>
        <v/>
      </c>
      <c r="I63" s="24">
        <f>H63/D63/3600</f>
        <v/>
      </c>
      <c r="J63" s="24">
        <f>(F63-G63)/(Inputs!$B$6*D63)/3600</f>
        <v/>
      </c>
      <c r="K63" s="24">
        <f>I63+J63</f>
        <v/>
      </c>
      <c r="L63" s="22">
        <f>L62+K63</f>
        <v/>
      </c>
      <c r="M63" s="25">
        <f>L63/(Inputs!$B$10*Inputs!$B$11)</f>
        <v/>
      </c>
      <c r="N63" s="21">
        <f>(L63-K63)/(Inputs!$B$10*Inputs!$B$11)</f>
        <v/>
      </c>
    </row>
    <row r="64">
      <c r="A64" s="19">
        <f>Inputs!$C$29&amp;" 7"</f>
        <v/>
      </c>
      <c r="B64" s="7" t="n">
        <v>7</v>
      </c>
      <c r="C64" s="7" t="n">
        <v>7</v>
      </c>
      <c r="D64" s="22">
        <f>INDEX(Inputs!$F$23:$F$32,B64)*Inputs!$B$5^(C64-1)*INDEX(EXT_Budget!$K$4:$K$13,B64)</f>
        <v/>
      </c>
      <c r="E64" s="23">
        <f>INDEX(Inputs!$E$23:$E$32,B64)*Inputs!$B$4^(C64-1)</f>
        <v/>
      </c>
      <c r="F64" s="23">
        <f>IF(C64&lt;9,Inputs!$B$8*E64,Inputs!$B$9*Inputs!$B$8*INDEX(Inputs!$E$23:$E$32,B64)*Inputs!$B$4^7)</f>
        <v/>
      </c>
      <c r="G64" s="23">
        <f>IF(C64=1,F64/Inputs!$B$4,F63)</f>
        <v/>
      </c>
      <c r="H64" s="23">
        <f>IF(C64=1,G64,Inputs!$B$7*F63)</f>
        <v/>
      </c>
      <c r="I64" s="24">
        <f>H64/D64/3600</f>
        <v/>
      </c>
      <c r="J64" s="24">
        <f>(F64-G64)/(Inputs!$B$6*D64)/3600</f>
        <v/>
      </c>
      <c r="K64" s="24">
        <f>I64+J64</f>
        <v/>
      </c>
      <c r="L64" s="22">
        <f>L63+K64</f>
        <v/>
      </c>
      <c r="M64" s="25">
        <f>L64/(Inputs!$B$10*Inputs!$B$11)</f>
        <v/>
      </c>
      <c r="N64" s="21">
        <f>(L64-K64)/(Inputs!$B$10*Inputs!$B$11)</f>
        <v/>
      </c>
    </row>
    <row r="65">
      <c r="A65" s="19">
        <f>Inputs!$C$29&amp;" 8"</f>
        <v/>
      </c>
      <c r="B65" s="7" t="n">
        <v>7</v>
      </c>
      <c r="C65" s="7" t="n">
        <v>8</v>
      </c>
      <c r="D65" s="22">
        <f>INDEX(Inputs!$F$23:$F$32,B65)*Inputs!$B$5^(C65-1)*INDEX(EXT_Budget!$K$4:$K$13,B65)</f>
        <v/>
      </c>
      <c r="E65" s="23">
        <f>INDEX(Inputs!$E$23:$E$32,B65)*Inputs!$B$4^(C65-1)</f>
        <v/>
      </c>
      <c r="F65" s="23">
        <f>IF(C65&lt;9,Inputs!$B$8*E65,Inputs!$B$9*Inputs!$B$8*INDEX(Inputs!$E$23:$E$32,B65)*Inputs!$B$4^7)</f>
        <v/>
      </c>
      <c r="G65" s="23">
        <f>IF(C65=1,F65/Inputs!$B$4,F64)</f>
        <v/>
      </c>
      <c r="H65" s="23">
        <f>IF(C65=1,G65,Inputs!$B$7*F64)</f>
        <v/>
      </c>
      <c r="I65" s="24">
        <f>H65/D65/3600</f>
        <v/>
      </c>
      <c r="J65" s="24">
        <f>(F65-G65)/(Inputs!$B$6*D65)/3600</f>
        <v/>
      </c>
      <c r="K65" s="24">
        <f>I65+J65</f>
        <v/>
      </c>
      <c r="L65" s="22">
        <f>L64+K65</f>
        <v/>
      </c>
      <c r="M65" s="25">
        <f>L65/(Inputs!$B$10*Inputs!$B$11)</f>
        <v/>
      </c>
      <c r="N65" s="21">
        <f>(L65-K65)/(Inputs!$B$10*Inputs!$B$11)</f>
        <v/>
      </c>
    </row>
    <row r="66">
      <c r="A66" s="19">
        <f>Inputs!$C$29&amp;" 9"</f>
        <v/>
      </c>
      <c r="B66" s="7" t="n">
        <v>7</v>
      </c>
      <c r="C66" s="7" t="n">
        <v>9</v>
      </c>
      <c r="D66" s="22">
        <f>INDEX(Inputs!$F$23:$F$32,B66)*Inputs!$B$5^(C66-1)*INDEX(EXT_Budget!$K$4:$K$13,B66)</f>
        <v/>
      </c>
      <c r="E66" s="23">
        <f>INDEX(Inputs!$E$23:$E$32,B66)*Inputs!$B$4^(C66-1)</f>
        <v/>
      </c>
      <c r="F66" s="23">
        <f>IF(C66&lt;9,Inputs!$B$8*E66,Inputs!$B$9*Inputs!$B$8*INDEX(Inputs!$E$23:$E$32,B66)*Inputs!$B$4^7)</f>
        <v/>
      </c>
      <c r="G66" s="23">
        <f>IF(C66=1,F66/Inputs!$B$4,F65)</f>
        <v/>
      </c>
      <c r="H66" s="23">
        <f>IF(C66=1,G66,Inputs!$B$7*F65)</f>
        <v/>
      </c>
      <c r="I66" s="24">
        <f>H66/D66/3600</f>
        <v/>
      </c>
      <c r="J66" s="24">
        <f>(F66-G66)/(Inputs!$B$6*D66)/3600</f>
        <v/>
      </c>
      <c r="K66" s="24">
        <f>I66+J66</f>
        <v/>
      </c>
      <c r="L66" s="22">
        <f>L65+K66</f>
        <v/>
      </c>
      <c r="M66" s="25">
        <f>L66/(Inputs!$B$10*Inputs!$B$11)</f>
        <v/>
      </c>
      <c r="N66" s="21">
        <f>(L66-K66)/(Inputs!$B$10*Inputs!$B$11)</f>
        <v/>
      </c>
    </row>
    <row r="67">
      <c r="A67" s="19">
        <f>Inputs!$C$30&amp;" 1"</f>
        <v/>
      </c>
      <c r="B67" s="7" t="n">
        <v>8</v>
      </c>
      <c r="C67" s="7" t="n">
        <v>1</v>
      </c>
      <c r="D67" s="22">
        <f>INDEX(Inputs!$F$23:$F$32,B67)*Inputs!$B$5^(C67-1)*INDEX(EXT_Budget!$K$4:$K$13,B67)</f>
        <v/>
      </c>
      <c r="E67" s="23">
        <f>INDEX(Inputs!$E$23:$E$32,B67)*Inputs!$B$4^(C67-1)</f>
        <v/>
      </c>
      <c r="F67" s="23">
        <f>IF(C67&lt;9,Inputs!$B$8*E67,Inputs!$B$9*Inputs!$B$8*INDEX(Inputs!$E$23:$E$32,B67)*Inputs!$B$4^7)</f>
        <v/>
      </c>
      <c r="G67" s="23">
        <f>IF(C67=1,F67/Inputs!$B$4,F66)</f>
        <v/>
      </c>
      <c r="H67" s="23">
        <f>IF(C67=1,G67,Inputs!$B$7*F66)</f>
        <v/>
      </c>
      <c r="I67" s="24">
        <f>H67/D67/3600</f>
        <v/>
      </c>
      <c r="J67" s="24">
        <f>(F67-G67)/(Inputs!$B$6*D67)/3600</f>
        <v/>
      </c>
      <c r="K67" s="24">
        <f>I67+J67</f>
        <v/>
      </c>
      <c r="L67" s="22">
        <f>L66+K67</f>
        <v/>
      </c>
      <c r="M67" s="25">
        <f>L67/(Inputs!$B$10*Inputs!$B$11)</f>
        <v/>
      </c>
      <c r="N67" s="21">
        <f>(L67-K67)/(Inputs!$B$10*Inputs!$B$11)</f>
        <v/>
      </c>
    </row>
    <row r="68">
      <c r="A68" s="19">
        <f>Inputs!$C$30&amp;" 2"</f>
        <v/>
      </c>
      <c r="B68" s="7" t="n">
        <v>8</v>
      </c>
      <c r="C68" s="7" t="n">
        <v>2</v>
      </c>
      <c r="D68" s="22">
        <f>INDEX(Inputs!$F$23:$F$32,B68)*Inputs!$B$5^(C68-1)*INDEX(EXT_Budget!$K$4:$K$13,B68)</f>
        <v/>
      </c>
      <c r="E68" s="23">
        <f>INDEX(Inputs!$E$23:$E$32,B68)*Inputs!$B$4^(C68-1)</f>
        <v/>
      </c>
      <c r="F68" s="23">
        <f>IF(C68&lt;9,Inputs!$B$8*E68,Inputs!$B$9*Inputs!$B$8*INDEX(Inputs!$E$23:$E$32,B68)*Inputs!$B$4^7)</f>
        <v/>
      </c>
      <c r="G68" s="23">
        <f>IF(C68=1,F68/Inputs!$B$4,F67)</f>
        <v/>
      </c>
      <c r="H68" s="23">
        <f>IF(C68=1,G68,Inputs!$B$7*F67)</f>
        <v/>
      </c>
      <c r="I68" s="24">
        <f>H68/D68/3600</f>
        <v/>
      </c>
      <c r="J68" s="24">
        <f>(F68-G68)/(Inputs!$B$6*D68)/3600</f>
        <v/>
      </c>
      <c r="K68" s="24">
        <f>I68+J68</f>
        <v/>
      </c>
      <c r="L68" s="22">
        <f>L67+K68</f>
        <v/>
      </c>
      <c r="M68" s="25">
        <f>L68/(Inputs!$B$10*Inputs!$B$11)</f>
        <v/>
      </c>
      <c r="N68" s="21">
        <f>(L68-K68)/(Inputs!$B$10*Inputs!$B$11)</f>
        <v/>
      </c>
    </row>
    <row r="69">
      <c r="A69" s="19">
        <f>Inputs!$C$30&amp;" 3"</f>
        <v/>
      </c>
      <c r="B69" s="7" t="n">
        <v>8</v>
      </c>
      <c r="C69" s="7" t="n">
        <v>3</v>
      </c>
      <c r="D69" s="22">
        <f>INDEX(Inputs!$F$23:$F$32,B69)*Inputs!$B$5^(C69-1)*INDEX(EXT_Budget!$K$4:$K$13,B69)</f>
        <v/>
      </c>
      <c r="E69" s="23">
        <f>INDEX(Inputs!$E$23:$E$32,B69)*Inputs!$B$4^(C69-1)</f>
        <v/>
      </c>
      <c r="F69" s="23">
        <f>IF(C69&lt;9,Inputs!$B$8*E69,Inputs!$B$9*Inputs!$B$8*INDEX(Inputs!$E$23:$E$32,B69)*Inputs!$B$4^7)</f>
        <v/>
      </c>
      <c r="G69" s="23">
        <f>IF(C69=1,F69/Inputs!$B$4,F68)</f>
        <v/>
      </c>
      <c r="H69" s="23">
        <f>IF(C69=1,G69,Inputs!$B$7*F68)</f>
        <v/>
      </c>
      <c r="I69" s="24">
        <f>H69/D69/3600</f>
        <v/>
      </c>
      <c r="J69" s="24">
        <f>(F69-G69)/(Inputs!$B$6*D69)/3600</f>
        <v/>
      </c>
      <c r="K69" s="24">
        <f>I69+J69</f>
        <v/>
      </c>
      <c r="L69" s="22">
        <f>L68+K69</f>
        <v/>
      </c>
      <c r="M69" s="25">
        <f>L69/(Inputs!$B$10*Inputs!$B$11)</f>
        <v/>
      </c>
      <c r="N69" s="21">
        <f>(L69-K69)/(Inputs!$B$10*Inputs!$B$11)</f>
        <v/>
      </c>
    </row>
    <row r="70">
      <c r="A70" s="19">
        <f>Inputs!$C$30&amp;" 4"</f>
        <v/>
      </c>
      <c r="B70" s="7" t="n">
        <v>8</v>
      </c>
      <c r="C70" s="7" t="n">
        <v>4</v>
      </c>
      <c r="D70" s="22">
        <f>INDEX(Inputs!$F$23:$F$32,B70)*Inputs!$B$5^(C70-1)*INDEX(EXT_Budget!$K$4:$K$13,B70)</f>
        <v/>
      </c>
      <c r="E70" s="23">
        <f>INDEX(Inputs!$E$23:$E$32,B70)*Inputs!$B$4^(C70-1)</f>
        <v/>
      </c>
      <c r="F70" s="23">
        <f>IF(C70&lt;9,Inputs!$B$8*E70,Inputs!$B$9*Inputs!$B$8*INDEX(Inputs!$E$23:$E$32,B70)*Inputs!$B$4^7)</f>
        <v/>
      </c>
      <c r="G70" s="23">
        <f>IF(C70=1,F70/Inputs!$B$4,F69)</f>
        <v/>
      </c>
      <c r="H70" s="23">
        <f>IF(C70=1,G70,Inputs!$B$7*F69)</f>
        <v/>
      </c>
      <c r="I70" s="24">
        <f>H70/D70/3600</f>
        <v/>
      </c>
      <c r="J70" s="24">
        <f>(F70-G70)/(Inputs!$B$6*D70)/3600</f>
        <v/>
      </c>
      <c r="K70" s="24">
        <f>I70+J70</f>
        <v/>
      </c>
      <c r="L70" s="22">
        <f>L69+K70</f>
        <v/>
      </c>
      <c r="M70" s="25">
        <f>L70/(Inputs!$B$10*Inputs!$B$11)</f>
        <v/>
      </c>
      <c r="N70" s="21">
        <f>(L70-K70)/(Inputs!$B$10*Inputs!$B$11)</f>
        <v/>
      </c>
    </row>
    <row r="71">
      <c r="A71" s="19">
        <f>Inputs!$C$30&amp;" 5"</f>
        <v/>
      </c>
      <c r="B71" s="7" t="n">
        <v>8</v>
      </c>
      <c r="C71" s="7" t="n">
        <v>5</v>
      </c>
      <c r="D71" s="22">
        <f>INDEX(Inputs!$F$23:$F$32,B71)*Inputs!$B$5^(C71-1)*INDEX(EXT_Budget!$K$4:$K$13,B71)</f>
        <v/>
      </c>
      <c r="E71" s="23">
        <f>INDEX(Inputs!$E$23:$E$32,B71)*Inputs!$B$4^(C71-1)</f>
        <v/>
      </c>
      <c r="F71" s="23">
        <f>IF(C71&lt;9,Inputs!$B$8*E71,Inputs!$B$9*Inputs!$B$8*INDEX(Inputs!$E$23:$E$32,B71)*Inputs!$B$4^7)</f>
        <v/>
      </c>
      <c r="G71" s="23">
        <f>IF(C71=1,F71/Inputs!$B$4,F70)</f>
        <v/>
      </c>
      <c r="H71" s="23">
        <f>IF(C71=1,G71,Inputs!$B$7*F70)</f>
        <v/>
      </c>
      <c r="I71" s="24">
        <f>H71/D71/3600</f>
        <v/>
      </c>
      <c r="J71" s="24">
        <f>(F71-G71)/(Inputs!$B$6*D71)/3600</f>
        <v/>
      </c>
      <c r="K71" s="24">
        <f>I71+J71</f>
        <v/>
      </c>
      <c r="L71" s="22">
        <f>L70+K71</f>
        <v/>
      </c>
      <c r="M71" s="25">
        <f>L71/(Inputs!$B$10*Inputs!$B$11)</f>
        <v/>
      </c>
      <c r="N71" s="21">
        <f>(L71-K71)/(Inputs!$B$10*Inputs!$B$11)</f>
        <v/>
      </c>
    </row>
    <row r="72">
      <c r="A72" s="19">
        <f>Inputs!$C$30&amp;" 6"</f>
        <v/>
      </c>
      <c r="B72" s="7" t="n">
        <v>8</v>
      </c>
      <c r="C72" s="7" t="n">
        <v>6</v>
      </c>
      <c r="D72" s="22">
        <f>INDEX(Inputs!$F$23:$F$32,B72)*Inputs!$B$5^(C72-1)*INDEX(EXT_Budget!$K$4:$K$13,B72)</f>
        <v/>
      </c>
      <c r="E72" s="23">
        <f>INDEX(Inputs!$E$23:$E$32,B72)*Inputs!$B$4^(C72-1)</f>
        <v/>
      </c>
      <c r="F72" s="23">
        <f>IF(C72&lt;9,Inputs!$B$8*E72,Inputs!$B$9*Inputs!$B$8*INDEX(Inputs!$E$23:$E$32,B72)*Inputs!$B$4^7)</f>
        <v/>
      </c>
      <c r="G72" s="23">
        <f>IF(C72=1,F72/Inputs!$B$4,F71)</f>
        <v/>
      </c>
      <c r="H72" s="23">
        <f>IF(C72=1,G72,Inputs!$B$7*F71)</f>
        <v/>
      </c>
      <c r="I72" s="24">
        <f>H72/D72/3600</f>
        <v/>
      </c>
      <c r="J72" s="24">
        <f>(F72-G72)/(Inputs!$B$6*D72)/3600</f>
        <v/>
      </c>
      <c r="K72" s="24">
        <f>I72+J72</f>
        <v/>
      </c>
      <c r="L72" s="22">
        <f>L71+K72</f>
        <v/>
      </c>
      <c r="M72" s="25">
        <f>L72/(Inputs!$B$10*Inputs!$B$11)</f>
        <v/>
      </c>
      <c r="N72" s="21">
        <f>(L72-K72)/(Inputs!$B$10*Inputs!$B$11)</f>
        <v/>
      </c>
    </row>
    <row r="73">
      <c r="A73" s="19">
        <f>Inputs!$C$30&amp;" 7"</f>
        <v/>
      </c>
      <c r="B73" s="7" t="n">
        <v>8</v>
      </c>
      <c r="C73" s="7" t="n">
        <v>7</v>
      </c>
      <c r="D73" s="22">
        <f>INDEX(Inputs!$F$23:$F$32,B73)*Inputs!$B$5^(C73-1)*INDEX(EXT_Budget!$K$4:$K$13,B73)</f>
        <v/>
      </c>
      <c r="E73" s="23">
        <f>INDEX(Inputs!$E$23:$E$32,B73)*Inputs!$B$4^(C73-1)</f>
        <v/>
      </c>
      <c r="F73" s="23">
        <f>IF(C73&lt;9,Inputs!$B$8*E73,Inputs!$B$9*Inputs!$B$8*INDEX(Inputs!$E$23:$E$32,B73)*Inputs!$B$4^7)</f>
        <v/>
      </c>
      <c r="G73" s="23">
        <f>IF(C73=1,F73/Inputs!$B$4,F72)</f>
        <v/>
      </c>
      <c r="H73" s="23">
        <f>IF(C73=1,G73,Inputs!$B$7*F72)</f>
        <v/>
      </c>
      <c r="I73" s="24">
        <f>H73/D73/3600</f>
        <v/>
      </c>
      <c r="J73" s="24">
        <f>(F73-G73)/(Inputs!$B$6*D73)/3600</f>
        <v/>
      </c>
      <c r="K73" s="24">
        <f>I73+J73</f>
        <v/>
      </c>
      <c r="L73" s="22">
        <f>L72+K73</f>
        <v/>
      </c>
      <c r="M73" s="25">
        <f>L73/(Inputs!$B$10*Inputs!$B$11)</f>
        <v/>
      </c>
      <c r="N73" s="21">
        <f>(L73-K73)/(Inputs!$B$10*Inputs!$B$11)</f>
        <v/>
      </c>
    </row>
    <row r="74">
      <c r="A74" s="19">
        <f>Inputs!$C$30&amp;" 8"</f>
        <v/>
      </c>
      <c r="B74" s="7" t="n">
        <v>8</v>
      </c>
      <c r="C74" s="7" t="n">
        <v>8</v>
      </c>
      <c r="D74" s="22">
        <f>INDEX(Inputs!$F$23:$F$32,B74)*Inputs!$B$5^(C74-1)*INDEX(EXT_Budget!$K$4:$K$13,B74)</f>
        <v/>
      </c>
      <c r="E74" s="23">
        <f>INDEX(Inputs!$E$23:$E$32,B74)*Inputs!$B$4^(C74-1)</f>
        <v/>
      </c>
      <c r="F74" s="23">
        <f>IF(C74&lt;9,Inputs!$B$8*E74,Inputs!$B$9*Inputs!$B$8*INDEX(Inputs!$E$23:$E$32,B74)*Inputs!$B$4^7)</f>
        <v/>
      </c>
      <c r="G74" s="23">
        <f>IF(C74=1,F74/Inputs!$B$4,F73)</f>
        <v/>
      </c>
      <c r="H74" s="23">
        <f>IF(C74=1,G74,Inputs!$B$7*F73)</f>
        <v/>
      </c>
      <c r="I74" s="24">
        <f>H74/D74/3600</f>
        <v/>
      </c>
      <c r="J74" s="24">
        <f>(F74-G74)/(Inputs!$B$6*D74)/3600</f>
        <v/>
      </c>
      <c r="K74" s="24">
        <f>I74+J74</f>
        <v/>
      </c>
      <c r="L74" s="22">
        <f>L73+K74</f>
        <v/>
      </c>
      <c r="M74" s="25">
        <f>L74/(Inputs!$B$10*Inputs!$B$11)</f>
        <v/>
      </c>
      <c r="N74" s="21">
        <f>(L74-K74)/(Inputs!$B$10*Inputs!$B$11)</f>
        <v/>
      </c>
    </row>
    <row r="75">
      <c r="A75" s="19">
        <f>Inputs!$C$30&amp;" 9"</f>
        <v/>
      </c>
      <c r="B75" s="7" t="n">
        <v>8</v>
      </c>
      <c r="C75" s="7" t="n">
        <v>9</v>
      </c>
      <c r="D75" s="22">
        <f>INDEX(Inputs!$F$23:$F$32,B75)*Inputs!$B$5^(C75-1)*INDEX(EXT_Budget!$K$4:$K$13,B75)</f>
        <v/>
      </c>
      <c r="E75" s="23">
        <f>INDEX(Inputs!$E$23:$E$32,B75)*Inputs!$B$4^(C75-1)</f>
        <v/>
      </c>
      <c r="F75" s="23">
        <f>IF(C75&lt;9,Inputs!$B$8*E75,Inputs!$B$9*Inputs!$B$8*INDEX(Inputs!$E$23:$E$32,B75)*Inputs!$B$4^7)</f>
        <v/>
      </c>
      <c r="G75" s="23">
        <f>IF(C75=1,F75/Inputs!$B$4,F74)</f>
        <v/>
      </c>
      <c r="H75" s="23">
        <f>IF(C75=1,G75,Inputs!$B$7*F74)</f>
        <v/>
      </c>
      <c r="I75" s="24">
        <f>H75/D75/3600</f>
        <v/>
      </c>
      <c r="J75" s="24">
        <f>(F75-G75)/(Inputs!$B$6*D75)/3600</f>
        <v/>
      </c>
      <c r="K75" s="24">
        <f>I75+J75</f>
        <v/>
      </c>
      <c r="L75" s="22">
        <f>L74+K75</f>
        <v/>
      </c>
      <c r="M75" s="25">
        <f>L75/(Inputs!$B$10*Inputs!$B$11)</f>
        <v/>
      </c>
      <c r="N75" s="21">
        <f>(L75-K75)/(Inputs!$B$10*Inputs!$B$11)</f>
        <v/>
      </c>
    </row>
    <row r="76">
      <c r="A76" s="19">
        <f>Inputs!$C$31&amp;" 1"</f>
        <v/>
      </c>
      <c r="B76" s="7" t="n">
        <v>9</v>
      </c>
      <c r="C76" s="7" t="n">
        <v>1</v>
      </c>
      <c r="D76" s="22">
        <f>INDEX(Inputs!$F$23:$F$32,B76)*Inputs!$B$5^(C76-1)*INDEX(EXT_Budget!$K$4:$K$13,B76)</f>
        <v/>
      </c>
      <c r="E76" s="23">
        <f>INDEX(Inputs!$E$23:$E$32,B76)*Inputs!$B$4^(C76-1)</f>
        <v/>
      </c>
      <c r="F76" s="23">
        <f>IF(C76&lt;9,Inputs!$B$8*E76,Inputs!$B$9*Inputs!$B$8*INDEX(Inputs!$E$23:$E$32,B76)*Inputs!$B$4^7)</f>
        <v/>
      </c>
      <c r="G76" s="23">
        <f>IF(C76=1,F76/Inputs!$B$4,F75)</f>
        <v/>
      </c>
      <c r="H76" s="23">
        <f>IF(C76=1,G76,Inputs!$B$7*F75)</f>
        <v/>
      </c>
      <c r="I76" s="24">
        <f>H76/D76/3600</f>
        <v/>
      </c>
      <c r="J76" s="24">
        <f>(F76-G76)/(Inputs!$B$6*D76)/3600</f>
        <v/>
      </c>
      <c r="K76" s="24">
        <f>I76+J76</f>
        <v/>
      </c>
      <c r="L76" s="22">
        <f>L75+K76</f>
        <v/>
      </c>
      <c r="M76" s="25">
        <f>L76/(Inputs!$B$10*Inputs!$B$11)</f>
        <v/>
      </c>
      <c r="N76" s="21">
        <f>(L76-K76)/(Inputs!$B$10*Inputs!$B$11)</f>
        <v/>
      </c>
    </row>
    <row r="77">
      <c r="A77" s="19">
        <f>Inputs!$C$31&amp;" 2"</f>
        <v/>
      </c>
      <c r="B77" s="7" t="n">
        <v>9</v>
      </c>
      <c r="C77" s="7" t="n">
        <v>2</v>
      </c>
      <c r="D77" s="22">
        <f>INDEX(Inputs!$F$23:$F$32,B77)*Inputs!$B$5^(C77-1)*INDEX(EXT_Budget!$K$4:$K$13,B77)</f>
        <v/>
      </c>
      <c r="E77" s="23">
        <f>INDEX(Inputs!$E$23:$E$32,B77)*Inputs!$B$4^(C77-1)</f>
        <v/>
      </c>
      <c r="F77" s="23">
        <f>IF(C77&lt;9,Inputs!$B$8*E77,Inputs!$B$9*Inputs!$B$8*INDEX(Inputs!$E$23:$E$32,B77)*Inputs!$B$4^7)</f>
        <v/>
      </c>
      <c r="G77" s="23">
        <f>IF(C77=1,F77/Inputs!$B$4,F76)</f>
        <v/>
      </c>
      <c r="H77" s="23">
        <f>IF(C77=1,G77,Inputs!$B$7*F76)</f>
        <v/>
      </c>
      <c r="I77" s="24">
        <f>H77/D77/3600</f>
        <v/>
      </c>
      <c r="J77" s="24">
        <f>(F77-G77)/(Inputs!$B$6*D77)/3600</f>
        <v/>
      </c>
      <c r="K77" s="24">
        <f>I77+J77</f>
        <v/>
      </c>
      <c r="L77" s="22">
        <f>L76+K77</f>
        <v/>
      </c>
      <c r="M77" s="25">
        <f>L77/(Inputs!$B$10*Inputs!$B$11)</f>
        <v/>
      </c>
      <c r="N77" s="21">
        <f>(L77-K77)/(Inputs!$B$10*Inputs!$B$11)</f>
        <v/>
      </c>
    </row>
    <row r="78">
      <c r="A78" s="19">
        <f>Inputs!$C$31&amp;" 3"</f>
        <v/>
      </c>
      <c r="B78" s="7" t="n">
        <v>9</v>
      </c>
      <c r="C78" s="7" t="n">
        <v>3</v>
      </c>
      <c r="D78" s="22">
        <f>INDEX(Inputs!$F$23:$F$32,B78)*Inputs!$B$5^(C78-1)*INDEX(EXT_Budget!$K$4:$K$13,B78)</f>
        <v/>
      </c>
      <c r="E78" s="23">
        <f>INDEX(Inputs!$E$23:$E$32,B78)*Inputs!$B$4^(C78-1)</f>
        <v/>
      </c>
      <c r="F78" s="23">
        <f>IF(C78&lt;9,Inputs!$B$8*E78,Inputs!$B$9*Inputs!$B$8*INDEX(Inputs!$E$23:$E$32,B78)*Inputs!$B$4^7)</f>
        <v/>
      </c>
      <c r="G78" s="23">
        <f>IF(C78=1,F78/Inputs!$B$4,F77)</f>
        <v/>
      </c>
      <c r="H78" s="23">
        <f>IF(C78=1,G78,Inputs!$B$7*F77)</f>
        <v/>
      </c>
      <c r="I78" s="24">
        <f>H78/D78/3600</f>
        <v/>
      </c>
      <c r="J78" s="24">
        <f>(F78-G78)/(Inputs!$B$6*D78)/3600</f>
        <v/>
      </c>
      <c r="K78" s="24">
        <f>I78+J78</f>
        <v/>
      </c>
      <c r="L78" s="22">
        <f>L77+K78</f>
        <v/>
      </c>
      <c r="M78" s="25">
        <f>L78/(Inputs!$B$10*Inputs!$B$11)</f>
        <v/>
      </c>
      <c r="N78" s="21">
        <f>(L78-K78)/(Inputs!$B$10*Inputs!$B$11)</f>
        <v/>
      </c>
    </row>
    <row r="79">
      <c r="A79" s="19">
        <f>Inputs!$C$31&amp;" 4"</f>
        <v/>
      </c>
      <c r="B79" s="7" t="n">
        <v>9</v>
      </c>
      <c r="C79" s="7" t="n">
        <v>4</v>
      </c>
      <c r="D79" s="22">
        <f>INDEX(Inputs!$F$23:$F$32,B79)*Inputs!$B$5^(C79-1)*INDEX(EXT_Budget!$K$4:$K$13,B79)</f>
        <v/>
      </c>
      <c r="E79" s="23">
        <f>INDEX(Inputs!$E$23:$E$32,B79)*Inputs!$B$4^(C79-1)</f>
        <v/>
      </c>
      <c r="F79" s="23">
        <f>IF(C79&lt;9,Inputs!$B$8*E79,Inputs!$B$9*Inputs!$B$8*INDEX(Inputs!$E$23:$E$32,B79)*Inputs!$B$4^7)</f>
        <v/>
      </c>
      <c r="G79" s="23">
        <f>IF(C79=1,F79/Inputs!$B$4,F78)</f>
        <v/>
      </c>
      <c r="H79" s="23">
        <f>IF(C79=1,G79,Inputs!$B$7*F78)</f>
        <v/>
      </c>
      <c r="I79" s="24">
        <f>H79/D79/3600</f>
        <v/>
      </c>
      <c r="J79" s="24">
        <f>(F79-G79)/(Inputs!$B$6*D79)/3600</f>
        <v/>
      </c>
      <c r="K79" s="24">
        <f>I79+J79</f>
        <v/>
      </c>
      <c r="L79" s="22">
        <f>L78+K79</f>
        <v/>
      </c>
      <c r="M79" s="25">
        <f>L79/(Inputs!$B$10*Inputs!$B$11)</f>
        <v/>
      </c>
      <c r="N79" s="21">
        <f>(L79-K79)/(Inputs!$B$10*Inputs!$B$11)</f>
        <v/>
      </c>
    </row>
    <row r="80">
      <c r="A80" s="19">
        <f>Inputs!$C$31&amp;" 5"</f>
        <v/>
      </c>
      <c r="B80" s="7" t="n">
        <v>9</v>
      </c>
      <c r="C80" s="7" t="n">
        <v>5</v>
      </c>
      <c r="D80" s="22">
        <f>INDEX(Inputs!$F$23:$F$32,B80)*Inputs!$B$5^(C80-1)*INDEX(EXT_Budget!$K$4:$K$13,B80)</f>
        <v/>
      </c>
      <c r="E80" s="23">
        <f>INDEX(Inputs!$E$23:$E$32,B80)*Inputs!$B$4^(C80-1)</f>
        <v/>
      </c>
      <c r="F80" s="23">
        <f>IF(C80&lt;9,Inputs!$B$8*E80,Inputs!$B$9*Inputs!$B$8*INDEX(Inputs!$E$23:$E$32,B80)*Inputs!$B$4^7)</f>
        <v/>
      </c>
      <c r="G80" s="23">
        <f>IF(C80=1,F80/Inputs!$B$4,F79)</f>
        <v/>
      </c>
      <c r="H80" s="23">
        <f>IF(C80=1,G80,Inputs!$B$7*F79)</f>
        <v/>
      </c>
      <c r="I80" s="24">
        <f>H80/D80/3600</f>
        <v/>
      </c>
      <c r="J80" s="24">
        <f>(F80-G80)/(Inputs!$B$6*D80)/3600</f>
        <v/>
      </c>
      <c r="K80" s="24">
        <f>I80+J80</f>
        <v/>
      </c>
      <c r="L80" s="22">
        <f>L79+K80</f>
        <v/>
      </c>
      <c r="M80" s="25">
        <f>L80/(Inputs!$B$10*Inputs!$B$11)</f>
        <v/>
      </c>
      <c r="N80" s="21">
        <f>(L80-K80)/(Inputs!$B$10*Inputs!$B$11)</f>
        <v/>
      </c>
    </row>
    <row r="81">
      <c r="A81" s="19">
        <f>Inputs!$C$31&amp;" 6"</f>
        <v/>
      </c>
      <c r="B81" s="7" t="n">
        <v>9</v>
      </c>
      <c r="C81" s="7" t="n">
        <v>6</v>
      </c>
      <c r="D81" s="22">
        <f>INDEX(Inputs!$F$23:$F$32,B81)*Inputs!$B$5^(C81-1)*INDEX(EXT_Budget!$K$4:$K$13,B81)</f>
        <v/>
      </c>
      <c r="E81" s="23">
        <f>INDEX(Inputs!$E$23:$E$32,B81)*Inputs!$B$4^(C81-1)</f>
        <v/>
      </c>
      <c r="F81" s="23">
        <f>IF(C81&lt;9,Inputs!$B$8*E81,Inputs!$B$9*Inputs!$B$8*INDEX(Inputs!$E$23:$E$32,B81)*Inputs!$B$4^7)</f>
        <v/>
      </c>
      <c r="G81" s="23">
        <f>IF(C81=1,F81/Inputs!$B$4,F80)</f>
        <v/>
      </c>
      <c r="H81" s="23">
        <f>IF(C81=1,G81,Inputs!$B$7*F80)</f>
        <v/>
      </c>
      <c r="I81" s="24">
        <f>H81/D81/3600</f>
        <v/>
      </c>
      <c r="J81" s="24">
        <f>(F81-G81)/(Inputs!$B$6*D81)/3600</f>
        <v/>
      </c>
      <c r="K81" s="24">
        <f>I81+J81</f>
        <v/>
      </c>
      <c r="L81" s="22">
        <f>L80+K81</f>
        <v/>
      </c>
      <c r="M81" s="25">
        <f>L81/(Inputs!$B$10*Inputs!$B$11)</f>
        <v/>
      </c>
      <c r="N81" s="21">
        <f>(L81-K81)/(Inputs!$B$10*Inputs!$B$11)</f>
        <v/>
      </c>
    </row>
    <row r="82">
      <c r="A82" s="19">
        <f>Inputs!$C$31&amp;" 7"</f>
        <v/>
      </c>
      <c r="B82" s="7" t="n">
        <v>9</v>
      </c>
      <c r="C82" s="7" t="n">
        <v>7</v>
      </c>
      <c r="D82" s="22">
        <f>INDEX(Inputs!$F$23:$F$32,B82)*Inputs!$B$5^(C82-1)*INDEX(EXT_Budget!$K$4:$K$13,B82)</f>
        <v/>
      </c>
      <c r="E82" s="23">
        <f>INDEX(Inputs!$E$23:$E$32,B82)*Inputs!$B$4^(C82-1)</f>
        <v/>
      </c>
      <c r="F82" s="23">
        <f>IF(C82&lt;9,Inputs!$B$8*E82,Inputs!$B$9*Inputs!$B$8*INDEX(Inputs!$E$23:$E$32,B82)*Inputs!$B$4^7)</f>
        <v/>
      </c>
      <c r="G82" s="23">
        <f>IF(C82=1,F82/Inputs!$B$4,F81)</f>
        <v/>
      </c>
      <c r="H82" s="23">
        <f>IF(C82=1,G82,Inputs!$B$7*F81)</f>
        <v/>
      </c>
      <c r="I82" s="24">
        <f>H82/D82/3600</f>
        <v/>
      </c>
      <c r="J82" s="24">
        <f>(F82-G82)/(Inputs!$B$6*D82)/3600</f>
        <v/>
      </c>
      <c r="K82" s="24">
        <f>I82+J82</f>
        <v/>
      </c>
      <c r="L82" s="22">
        <f>L81+K82</f>
        <v/>
      </c>
      <c r="M82" s="25">
        <f>L82/(Inputs!$B$10*Inputs!$B$11)</f>
        <v/>
      </c>
      <c r="N82" s="21">
        <f>(L82-K82)/(Inputs!$B$10*Inputs!$B$11)</f>
        <v/>
      </c>
    </row>
    <row r="83">
      <c r="A83" s="19">
        <f>Inputs!$C$31&amp;" 8"</f>
        <v/>
      </c>
      <c r="B83" s="7" t="n">
        <v>9</v>
      </c>
      <c r="C83" s="7" t="n">
        <v>8</v>
      </c>
      <c r="D83" s="22">
        <f>INDEX(Inputs!$F$23:$F$32,B83)*Inputs!$B$5^(C83-1)*INDEX(EXT_Budget!$K$4:$K$13,B83)</f>
        <v/>
      </c>
      <c r="E83" s="23">
        <f>INDEX(Inputs!$E$23:$E$32,B83)*Inputs!$B$4^(C83-1)</f>
        <v/>
      </c>
      <c r="F83" s="23">
        <f>IF(C83&lt;9,Inputs!$B$8*E83,Inputs!$B$9*Inputs!$B$8*INDEX(Inputs!$E$23:$E$32,B83)*Inputs!$B$4^7)</f>
        <v/>
      </c>
      <c r="G83" s="23">
        <f>IF(C83=1,F83/Inputs!$B$4,F82)</f>
        <v/>
      </c>
      <c r="H83" s="23">
        <f>IF(C83=1,G83,Inputs!$B$7*F82)</f>
        <v/>
      </c>
      <c r="I83" s="24">
        <f>H83/D83/3600</f>
        <v/>
      </c>
      <c r="J83" s="24">
        <f>(F83-G83)/(Inputs!$B$6*D83)/3600</f>
        <v/>
      </c>
      <c r="K83" s="24">
        <f>I83+J83</f>
        <v/>
      </c>
      <c r="L83" s="22">
        <f>L82+K83</f>
        <v/>
      </c>
      <c r="M83" s="25">
        <f>L83/(Inputs!$B$10*Inputs!$B$11)</f>
        <v/>
      </c>
      <c r="N83" s="21">
        <f>(L83-K83)/(Inputs!$B$10*Inputs!$B$11)</f>
        <v/>
      </c>
    </row>
    <row r="84">
      <c r="A84" s="19">
        <f>Inputs!$C$31&amp;" 9"</f>
        <v/>
      </c>
      <c r="B84" s="7" t="n">
        <v>9</v>
      </c>
      <c r="C84" s="7" t="n">
        <v>9</v>
      </c>
      <c r="D84" s="22">
        <f>INDEX(Inputs!$F$23:$F$32,B84)*Inputs!$B$5^(C84-1)*INDEX(EXT_Budget!$K$4:$K$13,B84)</f>
        <v/>
      </c>
      <c r="E84" s="23">
        <f>INDEX(Inputs!$E$23:$E$32,B84)*Inputs!$B$4^(C84-1)</f>
        <v/>
      </c>
      <c r="F84" s="23">
        <f>IF(C84&lt;9,Inputs!$B$8*E84,Inputs!$B$9*Inputs!$B$8*INDEX(Inputs!$E$23:$E$32,B84)*Inputs!$B$4^7)</f>
        <v/>
      </c>
      <c r="G84" s="23">
        <f>IF(C84=1,F84/Inputs!$B$4,F83)</f>
        <v/>
      </c>
      <c r="H84" s="23">
        <f>IF(C84=1,G84,Inputs!$B$7*F83)</f>
        <v/>
      </c>
      <c r="I84" s="24">
        <f>H84/D84/3600</f>
        <v/>
      </c>
      <c r="J84" s="24">
        <f>(F84-G84)/(Inputs!$B$6*D84)/3600</f>
        <v/>
      </c>
      <c r="K84" s="24">
        <f>I84+J84</f>
        <v/>
      </c>
      <c r="L84" s="22">
        <f>L83+K84</f>
        <v/>
      </c>
      <c r="M84" s="25">
        <f>L84/(Inputs!$B$10*Inputs!$B$11)</f>
        <v/>
      </c>
      <c r="N84" s="21">
        <f>(L84-K84)/(Inputs!$B$10*Inputs!$B$11)</f>
        <v/>
      </c>
    </row>
    <row r="85">
      <c r="A85" s="19">
        <f>Inputs!$C$32&amp;" 1"</f>
        <v/>
      </c>
      <c r="B85" s="7" t="n">
        <v>10</v>
      </c>
      <c r="C85" s="7" t="n">
        <v>1</v>
      </c>
      <c r="D85" s="22">
        <f>INDEX(Inputs!$F$23:$F$32,B85)*Inputs!$B$5^(C85-1)*INDEX(EXT_Budget!$K$4:$K$13,B85)</f>
        <v/>
      </c>
      <c r="E85" s="23">
        <f>INDEX(Inputs!$E$23:$E$32,B85)*Inputs!$B$4^(C85-1)</f>
        <v/>
      </c>
      <c r="F85" s="23">
        <f>IF(C85&lt;9,Inputs!$B$8*E85,Inputs!$B$9*Inputs!$B$8*INDEX(Inputs!$E$23:$E$32,B85)*Inputs!$B$4^7)</f>
        <v/>
      </c>
      <c r="G85" s="23">
        <f>IF(C85=1,F85/Inputs!$B$4,F84)</f>
        <v/>
      </c>
      <c r="H85" s="23">
        <f>IF(C85=1,G85,Inputs!$B$7*F84)</f>
        <v/>
      </c>
      <c r="I85" s="24">
        <f>H85/D85/3600</f>
        <v/>
      </c>
      <c r="J85" s="24">
        <f>(F85-G85)/(Inputs!$B$6*D85)/3600</f>
        <v/>
      </c>
      <c r="K85" s="24">
        <f>I85+J85</f>
        <v/>
      </c>
      <c r="L85" s="22">
        <f>L84+K85</f>
        <v/>
      </c>
      <c r="M85" s="25">
        <f>L85/(Inputs!$B$10*Inputs!$B$11)</f>
        <v/>
      </c>
      <c r="N85" s="21">
        <f>(L85-K85)/(Inputs!$B$10*Inputs!$B$11)</f>
        <v/>
      </c>
    </row>
    <row r="86">
      <c r="A86" s="19">
        <f>Inputs!$C$32&amp;" 2"</f>
        <v/>
      </c>
      <c r="B86" s="7" t="n">
        <v>10</v>
      </c>
      <c r="C86" s="7" t="n">
        <v>2</v>
      </c>
      <c r="D86" s="22">
        <f>INDEX(Inputs!$F$23:$F$32,B86)*Inputs!$B$5^(C86-1)*INDEX(EXT_Budget!$K$4:$K$13,B86)</f>
        <v/>
      </c>
      <c r="E86" s="23">
        <f>INDEX(Inputs!$E$23:$E$32,B86)*Inputs!$B$4^(C86-1)</f>
        <v/>
      </c>
      <c r="F86" s="23">
        <f>IF(C86&lt;9,Inputs!$B$8*E86,Inputs!$B$9*Inputs!$B$8*INDEX(Inputs!$E$23:$E$32,B86)*Inputs!$B$4^7)</f>
        <v/>
      </c>
      <c r="G86" s="23">
        <f>IF(C86=1,F86/Inputs!$B$4,F85)</f>
        <v/>
      </c>
      <c r="H86" s="23">
        <f>IF(C86=1,G86,Inputs!$B$7*F85)</f>
        <v/>
      </c>
      <c r="I86" s="24">
        <f>H86/D86/3600</f>
        <v/>
      </c>
      <c r="J86" s="24">
        <f>(F86-G86)/(Inputs!$B$6*D86)/3600</f>
        <v/>
      </c>
      <c r="K86" s="24">
        <f>I86+J86</f>
        <v/>
      </c>
      <c r="L86" s="22">
        <f>L85+K86</f>
        <v/>
      </c>
      <c r="M86" s="25">
        <f>L86/(Inputs!$B$10*Inputs!$B$11)</f>
        <v/>
      </c>
      <c r="N86" s="21">
        <f>(L86-K86)/(Inputs!$B$10*Inputs!$B$11)</f>
        <v/>
      </c>
    </row>
    <row r="87">
      <c r="A87" s="19">
        <f>Inputs!$C$32&amp;" 3"</f>
        <v/>
      </c>
      <c r="B87" s="7" t="n">
        <v>10</v>
      </c>
      <c r="C87" s="7" t="n">
        <v>3</v>
      </c>
      <c r="D87" s="22">
        <f>INDEX(Inputs!$F$23:$F$32,B87)*Inputs!$B$5^(C87-1)*INDEX(EXT_Budget!$K$4:$K$13,B87)</f>
        <v/>
      </c>
      <c r="E87" s="23">
        <f>INDEX(Inputs!$E$23:$E$32,B87)*Inputs!$B$4^(C87-1)</f>
        <v/>
      </c>
      <c r="F87" s="23">
        <f>IF(C87&lt;9,Inputs!$B$8*E87,Inputs!$B$9*Inputs!$B$8*INDEX(Inputs!$E$23:$E$32,B87)*Inputs!$B$4^7)</f>
        <v/>
      </c>
      <c r="G87" s="23">
        <f>IF(C87=1,F87/Inputs!$B$4,F86)</f>
        <v/>
      </c>
      <c r="H87" s="23">
        <f>IF(C87=1,G87,Inputs!$B$7*F86)</f>
        <v/>
      </c>
      <c r="I87" s="24">
        <f>H87/D87/3600</f>
        <v/>
      </c>
      <c r="J87" s="24">
        <f>(F87-G87)/(Inputs!$B$6*D87)/3600</f>
        <v/>
      </c>
      <c r="K87" s="24">
        <f>I87+J87</f>
        <v/>
      </c>
      <c r="L87" s="22">
        <f>L86+K87</f>
        <v/>
      </c>
      <c r="M87" s="25">
        <f>L87/(Inputs!$B$10*Inputs!$B$11)</f>
        <v/>
      </c>
      <c r="N87" s="21">
        <f>(L87-K87)/(Inputs!$B$10*Inputs!$B$11)</f>
        <v/>
      </c>
    </row>
    <row r="88">
      <c r="A88" s="19">
        <f>Inputs!$C$32&amp;" 4"</f>
        <v/>
      </c>
      <c r="B88" s="7" t="n">
        <v>10</v>
      </c>
      <c r="C88" s="7" t="n">
        <v>4</v>
      </c>
      <c r="D88" s="22">
        <f>INDEX(Inputs!$F$23:$F$32,B88)*Inputs!$B$5^(C88-1)*INDEX(EXT_Budget!$K$4:$K$13,B88)</f>
        <v/>
      </c>
      <c r="E88" s="23">
        <f>INDEX(Inputs!$E$23:$E$32,B88)*Inputs!$B$4^(C88-1)</f>
        <v/>
      </c>
      <c r="F88" s="23">
        <f>IF(C88&lt;9,Inputs!$B$8*E88,Inputs!$B$9*Inputs!$B$8*INDEX(Inputs!$E$23:$E$32,B88)*Inputs!$B$4^7)</f>
        <v/>
      </c>
      <c r="G88" s="23">
        <f>IF(C88=1,F88/Inputs!$B$4,F87)</f>
        <v/>
      </c>
      <c r="H88" s="23">
        <f>IF(C88=1,G88,Inputs!$B$7*F87)</f>
        <v/>
      </c>
      <c r="I88" s="24">
        <f>H88/D88/3600</f>
        <v/>
      </c>
      <c r="J88" s="24">
        <f>(F88-G88)/(Inputs!$B$6*D88)/3600</f>
        <v/>
      </c>
      <c r="K88" s="24">
        <f>I88+J88</f>
        <v/>
      </c>
      <c r="L88" s="22">
        <f>L87+K88</f>
        <v/>
      </c>
      <c r="M88" s="25">
        <f>L88/(Inputs!$B$10*Inputs!$B$11)</f>
        <v/>
      </c>
      <c r="N88" s="21">
        <f>(L88-K88)/(Inputs!$B$10*Inputs!$B$11)</f>
        <v/>
      </c>
    </row>
    <row r="89">
      <c r="A89" s="19">
        <f>Inputs!$C$32&amp;" 5"</f>
        <v/>
      </c>
      <c r="B89" s="7" t="n">
        <v>10</v>
      </c>
      <c r="C89" s="7" t="n">
        <v>5</v>
      </c>
      <c r="D89" s="22">
        <f>INDEX(Inputs!$F$23:$F$32,B89)*Inputs!$B$5^(C89-1)*INDEX(EXT_Budget!$K$4:$K$13,B89)</f>
        <v/>
      </c>
      <c r="E89" s="23">
        <f>INDEX(Inputs!$E$23:$E$32,B89)*Inputs!$B$4^(C89-1)</f>
        <v/>
      </c>
      <c r="F89" s="23">
        <f>IF(C89&lt;9,Inputs!$B$8*E89,Inputs!$B$9*Inputs!$B$8*INDEX(Inputs!$E$23:$E$32,B89)*Inputs!$B$4^7)</f>
        <v/>
      </c>
      <c r="G89" s="23">
        <f>IF(C89=1,F89/Inputs!$B$4,F88)</f>
        <v/>
      </c>
      <c r="H89" s="23">
        <f>IF(C89=1,G89,Inputs!$B$7*F88)</f>
        <v/>
      </c>
      <c r="I89" s="24">
        <f>H89/D89/3600</f>
        <v/>
      </c>
      <c r="J89" s="24">
        <f>(F89-G89)/(Inputs!$B$6*D89)/3600</f>
        <v/>
      </c>
      <c r="K89" s="24">
        <f>I89+J89</f>
        <v/>
      </c>
      <c r="L89" s="22">
        <f>L88+K89</f>
        <v/>
      </c>
      <c r="M89" s="25">
        <f>L89/(Inputs!$B$10*Inputs!$B$11)</f>
        <v/>
      </c>
      <c r="N89" s="21">
        <f>(L89-K89)/(Inputs!$B$10*Inputs!$B$11)</f>
        <v/>
      </c>
    </row>
    <row r="90">
      <c r="A90" s="19">
        <f>Inputs!$C$32&amp;" 6"</f>
        <v/>
      </c>
      <c r="B90" s="7" t="n">
        <v>10</v>
      </c>
      <c r="C90" s="7" t="n">
        <v>6</v>
      </c>
      <c r="D90" s="22">
        <f>INDEX(Inputs!$F$23:$F$32,B90)*Inputs!$B$5^(C90-1)*INDEX(EXT_Budget!$K$4:$K$13,B90)</f>
        <v/>
      </c>
      <c r="E90" s="23">
        <f>INDEX(Inputs!$E$23:$E$32,B90)*Inputs!$B$4^(C90-1)</f>
        <v/>
      </c>
      <c r="F90" s="23">
        <f>IF(C90&lt;9,Inputs!$B$8*E90,Inputs!$B$9*Inputs!$B$8*INDEX(Inputs!$E$23:$E$32,B90)*Inputs!$B$4^7)</f>
        <v/>
      </c>
      <c r="G90" s="23">
        <f>IF(C90=1,F90/Inputs!$B$4,F89)</f>
        <v/>
      </c>
      <c r="H90" s="23">
        <f>IF(C90=1,G90,Inputs!$B$7*F89)</f>
        <v/>
      </c>
      <c r="I90" s="24">
        <f>H90/D90/3600</f>
        <v/>
      </c>
      <c r="J90" s="24">
        <f>(F90-G90)/(Inputs!$B$6*D90)/3600</f>
        <v/>
      </c>
      <c r="K90" s="24">
        <f>I90+J90</f>
        <v/>
      </c>
      <c r="L90" s="22">
        <f>L89+K90</f>
        <v/>
      </c>
      <c r="M90" s="25">
        <f>L90/(Inputs!$B$10*Inputs!$B$11)</f>
        <v/>
      </c>
      <c r="N90" s="21">
        <f>(L90-K90)/(Inputs!$B$10*Inputs!$B$11)</f>
        <v/>
      </c>
    </row>
    <row r="91">
      <c r="A91" s="19">
        <f>Inputs!$C$32&amp;" 7"</f>
        <v/>
      </c>
      <c r="B91" s="7" t="n">
        <v>10</v>
      </c>
      <c r="C91" s="7" t="n">
        <v>7</v>
      </c>
      <c r="D91" s="22">
        <f>INDEX(Inputs!$F$23:$F$32,B91)*Inputs!$B$5^(C91-1)*INDEX(EXT_Budget!$K$4:$K$13,B91)</f>
        <v/>
      </c>
      <c r="E91" s="23">
        <f>INDEX(Inputs!$E$23:$E$32,B91)*Inputs!$B$4^(C91-1)</f>
        <v/>
      </c>
      <c r="F91" s="23">
        <f>IF(C91&lt;9,Inputs!$B$8*E91,Inputs!$B$9*Inputs!$B$8*INDEX(Inputs!$E$23:$E$32,B91)*Inputs!$B$4^7)</f>
        <v/>
      </c>
      <c r="G91" s="23">
        <f>IF(C91=1,F91/Inputs!$B$4,F90)</f>
        <v/>
      </c>
      <c r="H91" s="23">
        <f>IF(C91=1,G91,Inputs!$B$7*F90)</f>
        <v/>
      </c>
      <c r="I91" s="24">
        <f>H91/D91/3600</f>
        <v/>
      </c>
      <c r="J91" s="24">
        <f>(F91-G91)/(Inputs!$B$6*D91)/3600</f>
        <v/>
      </c>
      <c r="K91" s="24">
        <f>I91+J91</f>
        <v/>
      </c>
      <c r="L91" s="22">
        <f>L90+K91</f>
        <v/>
      </c>
      <c r="M91" s="25">
        <f>L91/(Inputs!$B$10*Inputs!$B$11)</f>
        <v/>
      </c>
      <c r="N91" s="21">
        <f>(L91-K91)/(Inputs!$B$10*Inputs!$B$11)</f>
        <v/>
      </c>
    </row>
    <row r="92">
      <c r="A92" s="19">
        <f>Inputs!$C$32&amp;" 8"</f>
        <v/>
      </c>
      <c r="B92" s="7" t="n">
        <v>10</v>
      </c>
      <c r="C92" s="7" t="n">
        <v>8</v>
      </c>
      <c r="D92" s="22">
        <f>INDEX(Inputs!$F$23:$F$32,B92)*Inputs!$B$5^(C92-1)*INDEX(EXT_Budget!$K$4:$K$13,B92)</f>
        <v/>
      </c>
      <c r="E92" s="23">
        <f>INDEX(Inputs!$E$23:$E$32,B92)*Inputs!$B$4^(C92-1)</f>
        <v/>
      </c>
      <c r="F92" s="23">
        <f>IF(C92&lt;9,Inputs!$B$8*E92,Inputs!$B$9*Inputs!$B$8*INDEX(Inputs!$E$23:$E$32,B92)*Inputs!$B$4^7)</f>
        <v/>
      </c>
      <c r="G92" s="23">
        <f>IF(C92=1,F92/Inputs!$B$4,F91)</f>
        <v/>
      </c>
      <c r="H92" s="23">
        <f>IF(C92=1,G92,Inputs!$B$7*F91)</f>
        <v/>
      </c>
      <c r="I92" s="24">
        <f>H92/D92/3600</f>
        <v/>
      </c>
      <c r="J92" s="24">
        <f>(F92-G92)/(Inputs!$B$6*D92)/3600</f>
        <v/>
      </c>
      <c r="K92" s="24">
        <f>I92+J92</f>
        <v/>
      </c>
      <c r="L92" s="22">
        <f>L91+K92</f>
        <v/>
      </c>
      <c r="M92" s="25">
        <f>L92/(Inputs!$B$10*Inputs!$B$11)</f>
        <v/>
      </c>
      <c r="N92" s="21">
        <f>(L92-K92)/(Inputs!$B$10*Inputs!$B$11)</f>
        <v/>
      </c>
    </row>
    <row r="93">
      <c r="A93" s="19">
        <f>Inputs!$C$32&amp;" 9"</f>
        <v/>
      </c>
      <c r="B93" s="7" t="n">
        <v>10</v>
      </c>
      <c r="C93" s="7" t="n">
        <v>9</v>
      </c>
      <c r="D93" s="22">
        <f>INDEX(Inputs!$F$23:$F$32,B93)*Inputs!$B$5^(C93-1)*INDEX(EXT_Budget!$K$4:$K$13,B93)</f>
        <v/>
      </c>
      <c r="E93" s="23">
        <f>INDEX(Inputs!$E$23:$E$32,B93)*Inputs!$B$4^(C93-1)</f>
        <v/>
      </c>
      <c r="F93" s="23">
        <f>IF(C93&lt;9,Inputs!$B$8*E93,Inputs!$B$9*Inputs!$B$8*INDEX(Inputs!$E$23:$E$32,B93)*Inputs!$B$4^7)</f>
        <v/>
      </c>
      <c r="G93" s="23">
        <f>IF(C93=1,F93/Inputs!$B$4,F92)</f>
        <v/>
      </c>
      <c r="H93" s="23">
        <f>IF(C93=1,G93,Inputs!$B$7*F92)</f>
        <v/>
      </c>
      <c r="I93" s="24">
        <f>H93/D93/3600</f>
        <v/>
      </c>
      <c r="J93" s="24">
        <f>(F93-G93)/(Inputs!$B$6*D93)/3600</f>
        <v/>
      </c>
      <c r="K93" s="24">
        <f>I93+J93</f>
        <v/>
      </c>
      <c r="L93" s="22">
        <f>L92+K93</f>
        <v/>
      </c>
      <c r="M93" s="25">
        <f>L93/(Inputs!$B$10*Inputs!$B$11)</f>
        <v/>
      </c>
      <c r="N93" s="21">
        <f>(L93-K93)/(Inputs!$B$10*Inputs!$B$11)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  <col width="13" customWidth="1" min="14" max="14"/>
  </cols>
  <sheetData>
    <row r="1">
      <c r="A1" s="5" t="inlineStr">
        <is>
          <t>Body pacing (Vessel Model, Train time)</t>
        </is>
      </c>
    </row>
    <row r="2"/>
    <row r="3">
      <c r="A3" s="15" t="inlineStr">
        <is>
          <t>Key</t>
        </is>
      </c>
      <c r="B3" s="15" t="inlineStr">
        <is>
          <t>Idx</t>
        </is>
      </c>
      <c r="C3" s="15" t="inlineStr">
        <is>
          <t>Level</t>
        </is>
      </c>
      <c r="D3" s="15" t="inlineStr">
        <is>
          <t>Rate /s</t>
        </is>
      </c>
      <c r="E3" s="15" t="inlineStr">
        <is>
          <t>Work</t>
        </is>
      </c>
      <c r="F3" s="15" t="inlineStr">
        <is>
          <t>Cap (max at level end)</t>
        </is>
      </c>
      <c r="G3" s="15" t="inlineStr">
        <is>
          <t>Start max</t>
        </is>
      </c>
      <c r="H3" s="15" t="inlineStr">
        <is>
          <t>Refill amount</t>
        </is>
      </c>
      <c r="I3" s="15" t="inlineStr">
        <is>
          <t>Refill h</t>
        </is>
      </c>
      <c r="J3" s="15" t="inlineStr">
        <is>
          <t>Growth h</t>
        </is>
      </c>
      <c r="K3" s="15" t="inlineStr">
        <is>
          <t>Level h</t>
        </is>
      </c>
      <c r="L3" s="15" t="inlineStr">
        <is>
          <t>Cumulative h</t>
        </is>
      </c>
      <c r="M3" s="15" t="inlineStr">
        <is>
          <t>Day (end of level)</t>
        </is>
      </c>
      <c r="N3" s="15" t="inlineStr">
        <is>
          <t>Day (level reached)</t>
        </is>
      </c>
    </row>
    <row r="4">
      <c r="A4" s="19">
        <f>Inputs!$B$38&amp;" 1"</f>
        <v/>
      </c>
      <c r="B4" s="7" t="n">
        <v>1</v>
      </c>
      <c r="C4" s="7" t="n">
        <v>1</v>
      </c>
      <c r="D4" s="22">
        <f>Inputs!$B$16^(B4-1)*Inputs!$B$5^(C4-1)*INDEX(Inputs!$D$38:$D$44,B4)</f>
        <v/>
      </c>
      <c r="E4" s="23">
        <f>INDEX(Inputs!$C$38:$C$44,B4)*Inputs!$B$4^(C4-1)</f>
        <v/>
      </c>
      <c r="F4" s="23">
        <f>IF(C4&lt;9,Inputs!$B$8*E4,Inputs!$B$9*Inputs!$B$8*INDEX(Inputs!$C$38:$C$44,B4)*Inputs!$B$4^7)</f>
        <v/>
      </c>
      <c r="G4" s="23">
        <f>F4/Inputs!$B$4</f>
        <v/>
      </c>
      <c r="H4" s="23">
        <f>G4</f>
        <v/>
      </c>
      <c r="I4" s="24">
        <f>H4/D4/3600</f>
        <v/>
      </c>
      <c r="J4" s="24">
        <f>(F4-G4)/(Inputs!$B$6*D4)/3600</f>
        <v/>
      </c>
      <c r="K4" s="24">
        <f>I4+J4</f>
        <v/>
      </c>
      <c r="L4" s="22">
        <f>K4</f>
        <v/>
      </c>
      <c r="M4" s="25">
        <f>L4/(Inputs!$B$10*Inputs!$B$12)</f>
        <v/>
      </c>
      <c r="N4" s="21">
        <f>(L4-K4)/(Inputs!$B$10*Inputs!$B$12)</f>
        <v/>
      </c>
    </row>
    <row r="5">
      <c r="A5" s="19">
        <f>Inputs!$B$38&amp;" 2"</f>
        <v/>
      </c>
      <c r="B5" s="7" t="n">
        <v>1</v>
      </c>
      <c r="C5" s="7" t="n">
        <v>2</v>
      </c>
      <c r="D5" s="22">
        <f>Inputs!$B$16^(B5-1)*Inputs!$B$5^(C5-1)*INDEX(Inputs!$D$38:$D$44,B5)</f>
        <v/>
      </c>
      <c r="E5" s="23">
        <f>INDEX(Inputs!$C$38:$C$44,B5)*Inputs!$B$4^(C5-1)</f>
        <v/>
      </c>
      <c r="F5" s="23">
        <f>IF(C5&lt;9,Inputs!$B$8*E5,Inputs!$B$9*Inputs!$B$8*INDEX(Inputs!$C$38:$C$44,B5)*Inputs!$B$4^7)</f>
        <v/>
      </c>
      <c r="G5" s="23">
        <f>IF(C5=1,F5/Inputs!$B$4,F4)</f>
        <v/>
      </c>
      <c r="H5" s="23">
        <f>IF(C5=1,G5,Inputs!$B$7*F4)</f>
        <v/>
      </c>
      <c r="I5" s="24">
        <f>H5/D5/3600</f>
        <v/>
      </c>
      <c r="J5" s="24">
        <f>(F5-G5)/(Inputs!$B$6*D5)/3600</f>
        <v/>
      </c>
      <c r="K5" s="24">
        <f>I5+J5</f>
        <v/>
      </c>
      <c r="L5" s="22">
        <f>L4+K5</f>
        <v/>
      </c>
      <c r="M5" s="25">
        <f>L5/(Inputs!$B$10*Inputs!$B$12)</f>
        <v/>
      </c>
      <c r="N5" s="21">
        <f>(L5-K5)/(Inputs!$B$10*Inputs!$B$12)</f>
        <v/>
      </c>
    </row>
    <row r="6">
      <c r="A6" s="19">
        <f>Inputs!$B$38&amp;" 3"</f>
        <v/>
      </c>
      <c r="B6" s="7" t="n">
        <v>1</v>
      </c>
      <c r="C6" s="7" t="n">
        <v>3</v>
      </c>
      <c r="D6" s="22">
        <f>Inputs!$B$16^(B6-1)*Inputs!$B$5^(C6-1)*INDEX(Inputs!$D$38:$D$44,B6)</f>
        <v/>
      </c>
      <c r="E6" s="23">
        <f>INDEX(Inputs!$C$38:$C$44,B6)*Inputs!$B$4^(C6-1)</f>
        <v/>
      </c>
      <c r="F6" s="23">
        <f>IF(C6&lt;9,Inputs!$B$8*E6,Inputs!$B$9*Inputs!$B$8*INDEX(Inputs!$C$38:$C$44,B6)*Inputs!$B$4^7)</f>
        <v/>
      </c>
      <c r="G6" s="23">
        <f>IF(C6=1,F6/Inputs!$B$4,F5)</f>
        <v/>
      </c>
      <c r="H6" s="23">
        <f>IF(C6=1,G6,Inputs!$B$7*F5)</f>
        <v/>
      </c>
      <c r="I6" s="24">
        <f>H6/D6/3600</f>
        <v/>
      </c>
      <c r="J6" s="24">
        <f>(F6-G6)/(Inputs!$B$6*D6)/3600</f>
        <v/>
      </c>
      <c r="K6" s="24">
        <f>I6+J6</f>
        <v/>
      </c>
      <c r="L6" s="22">
        <f>L5+K6</f>
        <v/>
      </c>
      <c r="M6" s="25">
        <f>L6/(Inputs!$B$10*Inputs!$B$12)</f>
        <v/>
      </c>
      <c r="N6" s="21">
        <f>(L6-K6)/(Inputs!$B$10*Inputs!$B$12)</f>
        <v/>
      </c>
    </row>
    <row r="7">
      <c r="A7" s="19">
        <f>Inputs!$B$38&amp;" 4"</f>
        <v/>
      </c>
      <c r="B7" s="7" t="n">
        <v>1</v>
      </c>
      <c r="C7" s="7" t="n">
        <v>4</v>
      </c>
      <c r="D7" s="22">
        <f>Inputs!$B$16^(B7-1)*Inputs!$B$5^(C7-1)*INDEX(Inputs!$D$38:$D$44,B7)</f>
        <v/>
      </c>
      <c r="E7" s="23">
        <f>INDEX(Inputs!$C$38:$C$44,B7)*Inputs!$B$4^(C7-1)</f>
        <v/>
      </c>
      <c r="F7" s="23">
        <f>IF(C7&lt;9,Inputs!$B$8*E7,Inputs!$B$9*Inputs!$B$8*INDEX(Inputs!$C$38:$C$44,B7)*Inputs!$B$4^7)</f>
        <v/>
      </c>
      <c r="G7" s="23">
        <f>IF(C7=1,F7/Inputs!$B$4,F6)</f>
        <v/>
      </c>
      <c r="H7" s="23">
        <f>IF(C7=1,G7,Inputs!$B$7*F6)</f>
        <v/>
      </c>
      <c r="I7" s="24">
        <f>H7/D7/3600</f>
        <v/>
      </c>
      <c r="J7" s="24">
        <f>(F7-G7)/(Inputs!$B$6*D7)/3600</f>
        <v/>
      </c>
      <c r="K7" s="24">
        <f>I7+J7</f>
        <v/>
      </c>
      <c r="L7" s="22">
        <f>L6+K7</f>
        <v/>
      </c>
      <c r="M7" s="25">
        <f>L7/(Inputs!$B$10*Inputs!$B$12)</f>
        <v/>
      </c>
      <c r="N7" s="21">
        <f>(L7-K7)/(Inputs!$B$10*Inputs!$B$12)</f>
        <v/>
      </c>
    </row>
    <row r="8">
      <c r="A8" s="19">
        <f>Inputs!$B$38&amp;" 5"</f>
        <v/>
      </c>
      <c r="B8" s="7" t="n">
        <v>1</v>
      </c>
      <c r="C8" s="7" t="n">
        <v>5</v>
      </c>
      <c r="D8" s="22">
        <f>Inputs!$B$16^(B8-1)*Inputs!$B$5^(C8-1)*INDEX(Inputs!$D$38:$D$44,B8)</f>
        <v/>
      </c>
      <c r="E8" s="23">
        <f>INDEX(Inputs!$C$38:$C$44,B8)*Inputs!$B$4^(C8-1)</f>
        <v/>
      </c>
      <c r="F8" s="23">
        <f>IF(C8&lt;9,Inputs!$B$8*E8,Inputs!$B$9*Inputs!$B$8*INDEX(Inputs!$C$38:$C$44,B8)*Inputs!$B$4^7)</f>
        <v/>
      </c>
      <c r="G8" s="23">
        <f>IF(C8=1,F8/Inputs!$B$4,F7)</f>
        <v/>
      </c>
      <c r="H8" s="23">
        <f>IF(C8=1,G8,Inputs!$B$7*F7)</f>
        <v/>
      </c>
      <c r="I8" s="24">
        <f>H8/D8/3600</f>
        <v/>
      </c>
      <c r="J8" s="24">
        <f>(F8-G8)/(Inputs!$B$6*D8)/3600</f>
        <v/>
      </c>
      <c r="K8" s="24">
        <f>I8+J8</f>
        <v/>
      </c>
      <c r="L8" s="22">
        <f>L7+K8</f>
        <v/>
      </c>
      <c r="M8" s="25">
        <f>L8/(Inputs!$B$10*Inputs!$B$12)</f>
        <v/>
      </c>
      <c r="N8" s="21">
        <f>(L8-K8)/(Inputs!$B$10*Inputs!$B$12)</f>
        <v/>
      </c>
    </row>
    <row r="9">
      <c r="A9" s="19">
        <f>Inputs!$B$38&amp;" 6"</f>
        <v/>
      </c>
      <c r="B9" s="7" t="n">
        <v>1</v>
      </c>
      <c r="C9" s="7" t="n">
        <v>6</v>
      </c>
      <c r="D9" s="22">
        <f>Inputs!$B$16^(B9-1)*Inputs!$B$5^(C9-1)*INDEX(Inputs!$D$38:$D$44,B9)</f>
        <v/>
      </c>
      <c r="E9" s="23">
        <f>INDEX(Inputs!$C$38:$C$44,B9)*Inputs!$B$4^(C9-1)</f>
        <v/>
      </c>
      <c r="F9" s="23">
        <f>IF(C9&lt;9,Inputs!$B$8*E9,Inputs!$B$9*Inputs!$B$8*INDEX(Inputs!$C$38:$C$44,B9)*Inputs!$B$4^7)</f>
        <v/>
      </c>
      <c r="G9" s="23">
        <f>IF(C9=1,F9/Inputs!$B$4,F8)</f>
        <v/>
      </c>
      <c r="H9" s="23">
        <f>IF(C9=1,G9,Inputs!$B$7*F8)</f>
        <v/>
      </c>
      <c r="I9" s="24">
        <f>H9/D9/3600</f>
        <v/>
      </c>
      <c r="J9" s="24">
        <f>(F9-G9)/(Inputs!$B$6*D9)/3600</f>
        <v/>
      </c>
      <c r="K9" s="24">
        <f>I9+J9</f>
        <v/>
      </c>
      <c r="L9" s="22">
        <f>L8+K9</f>
        <v/>
      </c>
      <c r="M9" s="25">
        <f>L9/(Inputs!$B$10*Inputs!$B$12)</f>
        <v/>
      </c>
      <c r="N9" s="21">
        <f>(L9-K9)/(Inputs!$B$10*Inputs!$B$12)</f>
        <v/>
      </c>
    </row>
    <row r="10">
      <c r="A10" s="19">
        <f>Inputs!$B$38&amp;" 7"</f>
        <v/>
      </c>
      <c r="B10" s="7" t="n">
        <v>1</v>
      </c>
      <c r="C10" s="7" t="n">
        <v>7</v>
      </c>
      <c r="D10" s="22">
        <f>Inputs!$B$16^(B10-1)*Inputs!$B$5^(C10-1)*INDEX(Inputs!$D$38:$D$44,B10)</f>
        <v/>
      </c>
      <c r="E10" s="23">
        <f>INDEX(Inputs!$C$38:$C$44,B10)*Inputs!$B$4^(C10-1)</f>
        <v/>
      </c>
      <c r="F10" s="23">
        <f>IF(C10&lt;9,Inputs!$B$8*E10,Inputs!$B$9*Inputs!$B$8*INDEX(Inputs!$C$38:$C$44,B10)*Inputs!$B$4^7)</f>
        <v/>
      </c>
      <c r="G10" s="23">
        <f>IF(C10=1,F10/Inputs!$B$4,F9)</f>
        <v/>
      </c>
      <c r="H10" s="23">
        <f>IF(C10=1,G10,Inputs!$B$7*F9)</f>
        <v/>
      </c>
      <c r="I10" s="24">
        <f>H10/D10/3600</f>
        <v/>
      </c>
      <c r="J10" s="24">
        <f>(F10-G10)/(Inputs!$B$6*D10)/3600</f>
        <v/>
      </c>
      <c r="K10" s="24">
        <f>I10+J10</f>
        <v/>
      </c>
      <c r="L10" s="22">
        <f>L9+K10</f>
        <v/>
      </c>
      <c r="M10" s="25">
        <f>L10/(Inputs!$B$10*Inputs!$B$12)</f>
        <v/>
      </c>
      <c r="N10" s="21">
        <f>(L10-K10)/(Inputs!$B$10*Inputs!$B$12)</f>
        <v/>
      </c>
    </row>
    <row r="11">
      <c r="A11" s="19">
        <f>Inputs!$B$38&amp;" 8"</f>
        <v/>
      </c>
      <c r="B11" s="7" t="n">
        <v>1</v>
      </c>
      <c r="C11" s="7" t="n">
        <v>8</v>
      </c>
      <c r="D11" s="22">
        <f>Inputs!$B$16^(B11-1)*Inputs!$B$5^(C11-1)*INDEX(Inputs!$D$38:$D$44,B11)</f>
        <v/>
      </c>
      <c r="E11" s="23">
        <f>INDEX(Inputs!$C$38:$C$44,B11)*Inputs!$B$4^(C11-1)</f>
        <v/>
      </c>
      <c r="F11" s="23">
        <f>IF(C11&lt;9,Inputs!$B$8*E11,Inputs!$B$9*Inputs!$B$8*INDEX(Inputs!$C$38:$C$44,B11)*Inputs!$B$4^7)</f>
        <v/>
      </c>
      <c r="G11" s="23">
        <f>IF(C11=1,F11/Inputs!$B$4,F10)</f>
        <v/>
      </c>
      <c r="H11" s="23">
        <f>IF(C11=1,G11,Inputs!$B$7*F10)</f>
        <v/>
      </c>
      <c r="I11" s="24">
        <f>H11/D11/3600</f>
        <v/>
      </c>
      <c r="J11" s="24">
        <f>(F11-G11)/(Inputs!$B$6*D11)/3600</f>
        <v/>
      </c>
      <c r="K11" s="24">
        <f>I11+J11</f>
        <v/>
      </c>
      <c r="L11" s="22">
        <f>L10+K11</f>
        <v/>
      </c>
      <c r="M11" s="25">
        <f>L11/(Inputs!$B$10*Inputs!$B$12)</f>
        <v/>
      </c>
      <c r="N11" s="21">
        <f>(L11-K11)/(Inputs!$B$10*Inputs!$B$12)</f>
        <v/>
      </c>
    </row>
    <row r="12">
      <c r="A12" s="19">
        <f>Inputs!$B$38&amp;" 9"</f>
        <v/>
      </c>
      <c r="B12" s="7" t="n">
        <v>1</v>
      </c>
      <c r="C12" s="7" t="n">
        <v>9</v>
      </c>
      <c r="D12" s="22">
        <f>Inputs!$B$16^(B12-1)*Inputs!$B$5^(C12-1)*INDEX(Inputs!$D$38:$D$44,B12)</f>
        <v/>
      </c>
      <c r="E12" s="23">
        <f>INDEX(Inputs!$C$38:$C$44,B12)*Inputs!$B$4^(C12-1)</f>
        <v/>
      </c>
      <c r="F12" s="23">
        <f>IF(C12&lt;9,Inputs!$B$8*E12,Inputs!$B$9*Inputs!$B$8*INDEX(Inputs!$C$38:$C$44,B12)*Inputs!$B$4^7)</f>
        <v/>
      </c>
      <c r="G12" s="23">
        <f>IF(C12=1,F12/Inputs!$B$4,F11)</f>
        <v/>
      </c>
      <c r="H12" s="23">
        <f>IF(C12=1,G12,Inputs!$B$7*F11)</f>
        <v/>
      </c>
      <c r="I12" s="24">
        <f>H12/D12/3600</f>
        <v/>
      </c>
      <c r="J12" s="24">
        <f>(F12-G12)/(Inputs!$B$6*D12)/3600</f>
        <v/>
      </c>
      <c r="K12" s="24">
        <f>I12+J12</f>
        <v/>
      </c>
      <c r="L12" s="22">
        <f>L11+K12</f>
        <v/>
      </c>
      <c r="M12" s="25">
        <f>L12/(Inputs!$B$10*Inputs!$B$12)</f>
        <v/>
      </c>
      <c r="N12" s="21">
        <f>(L12-K12)/(Inputs!$B$10*Inputs!$B$12)</f>
        <v/>
      </c>
    </row>
    <row r="13">
      <c r="A13" s="19">
        <f>Inputs!$B$39&amp;" 1"</f>
        <v/>
      </c>
      <c r="B13" s="7" t="n">
        <v>2</v>
      </c>
      <c r="C13" s="7" t="n">
        <v>1</v>
      </c>
      <c r="D13" s="22">
        <f>Inputs!$B$16^(B13-1)*Inputs!$B$5^(C13-1)*INDEX(Inputs!$D$38:$D$44,B13)</f>
        <v/>
      </c>
      <c r="E13" s="23">
        <f>INDEX(Inputs!$C$38:$C$44,B13)*Inputs!$B$4^(C13-1)</f>
        <v/>
      </c>
      <c r="F13" s="23">
        <f>IF(C13&lt;9,Inputs!$B$8*E13,Inputs!$B$9*Inputs!$B$8*INDEX(Inputs!$C$38:$C$44,B13)*Inputs!$B$4^7)</f>
        <v/>
      </c>
      <c r="G13" s="23">
        <f>IF(C13=1,F13/Inputs!$B$4,F12)</f>
        <v/>
      </c>
      <c r="H13" s="23">
        <f>IF(C13=1,G13,Inputs!$B$7*F12)</f>
        <v/>
      </c>
      <c r="I13" s="24">
        <f>H13/D13/3600</f>
        <v/>
      </c>
      <c r="J13" s="24">
        <f>(F13-G13)/(Inputs!$B$6*D13)/3600</f>
        <v/>
      </c>
      <c r="K13" s="24">
        <f>I13+J13</f>
        <v/>
      </c>
      <c r="L13" s="22">
        <f>L12+K13</f>
        <v/>
      </c>
      <c r="M13" s="25">
        <f>L13/(Inputs!$B$10*Inputs!$B$12)</f>
        <v/>
      </c>
      <c r="N13" s="21">
        <f>(L13-K13)/(Inputs!$B$10*Inputs!$B$12)</f>
        <v/>
      </c>
    </row>
    <row r="14">
      <c r="A14" s="19">
        <f>Inputs!$B$39&amp;" 2"</f>
        <v/>
      </c>
      <c r="B14" s="7" t="n">
        <v>2</v>
      </c>
      <c r="C14" s="7" t="n">
        <v>2</v>
      </c>
      <c r="D14" s="22">
        <f>Inputs!$B$16^(B14-1)*Inputs!$B$5^(C14-1)*INDEX(Inputs!$D$38:$D$44,B14)</f>
        <v/>
      </c>
      <c r="E14" s="23">
        <f>INDEX(Inputs!$C$38:$C$44,B14)*Inputs!$B$4^(C14-1)</f>
        <v/>
      </c>
      <c r="F14" s="23">
        <f>IF(C14&lt;9,Inputs!$B$8*E14,Inputs!$B$9*Inputs!$B$8*INDEX(Inputs!$C$38:$C$44,B14)*Inputs!$B$4^7)</f>
        <v/>
      </c>
      <c r="G14" s="23">
        <f>IF(C14=1,F14/Inputs!$B$4,F13)</f>
        <v/>
      </c>
      <c r="H14" s="23">
        <f>IF(C14=1,G14,Inputs!$B$7*F13)</f>
        <v/>
      </c>
      <c r="I14" s="24">
        <f>H14/D14/3600</f>
        <v/>
      </c>
      <c r="J14" s="24">
        <f>(F14-G14)/(Inputs!$B$6*D14)/3600</f>
        <v/>
      </c>
      <c r="K14" s="24">
        <f>I14+J14</f>
        <v/>
      </c>
      <c r="L14" s="22">
        <f>L13+K14</f>
        <v/>
      </c>
      <c r="M14" s="25">
        <f>L14/(Inputs!$B$10*Inputs!$B$12)</f>
        <v/>
      </c>
      <c r="N14" s="21">
        <f>(L14-K14)/(Inputs!$B$10*Inputs!$B$12)</f>
        <v/>
      </c>
    </row>
    <row r="15">
      <c r="A15" s="19">
        <f>Inputs!$B$39&amp;" 3"</f>
        <v/>
      </c>
      <c r="B15" s="7" t="n">
        <v>2</v>
      </c>
      <c r="C15" s="7" t="n">
        <v>3</v>
      </c>
      <c r="D15" s="22">
        <f>Inputs!$B$16^(B15-1)*Inputs!$B$5^(C15-1)*INDEX(Inputs!$D$38:$D$44,B15)</f>
        <v/>
      </c>
      <c r="E15" s="23">
        <f>INDEX(Inputs!$C$38:$C$44,B15)*Inputs!$B$4^(C15-1)</f>
        <v/>
      </c>
      <c r="F15" s="23">
        <f>IF(C15&lt;9,Inputs!$B$8*E15,Inputs!$B$9*Inputs!$B$8*INDEX(Inputs!$C$38:$C$44,B15)*Inputs!$B$4^7)</f>
        <v/>
      </c>
      <c r="G15" s="23">
        <f>IF(C15=1,F15/Inputs!$B$4,F14)</f>
        <v/>
      </c>
      <c r="H15" s="23">
        <f>IF(C15=1,G15,Inputs!$B$7*F14)</f>
        <v/>
      </c>
      <c r="I15" s="24">
        <f>H15/D15/3600</f>
        <v/>
      </c>
      <c r="J15" s="24">
        <f>(F15-G15)/(Inputs!$B$6*D15)/3600</f>
        <v/>
      </c>
      <c r="K15" s="24">
        <f>I15+J15</f>
        <v/>
      </c>
      <c r="L15" s="22">
        <f>L14+K15</f>
        <v/>
      </c>
      <c r="M15" s="25">
        <f>L15/(Inputs!$B$10*Inputs!$B$12)</f>
        <v/>
      </c>
      <c r="N15" s="21">
        <f>(L15-K15)/(Inputs!$B$10*Inputs!$B$12)</f>
        <v/>
      </c>
    </row>
    <row r="16">
      <c r="A16" s="19">
        <f>Inputs!$B$39&amp;" 4"</f>
        <v/>
      </c>
      <c r="B16" s="7" t="n">
        <v>2</v>
      </c>
      <c r="C16" s="7" t="n">
        <v>4</v>
      </c>
      <c r="D16" s="22">
        <f>Inputs!$B$16^(B16-1)*Inputs!$B$5^(C16-1)*INDEX(Inputs!$D$38:$D$44,B16)</f>
        <v/>
      </c>
      <c r="E16" s="23">
        <f>INDEX(Inputs!$C$38:$C$44,B16)*Inputs!$B$4^(C16-1)</f>
        <v/>
      </c>
      <c r="F16" s="23">
        <f>IF(C16&lt;9,Inputs!$B$8*E16,Inputs!$B$9*Inputs!$B$8*INDEX(Inputs!$C$38:$C$44,B16)*Inputs!$B$4^7)</f>
        <v/>
      </c>
      <c r="G16" s="23">
        <f>IF(C16=1,F16/Inputs!$B$4,F15)</f>
        <v/>
      </c>
      <c r="H16" s="23">
        <f>IF(C16=1,G16,Inputs!$B$7*F15)</f>
        <v/>
      </c>
      <c r="I16" s="24">
        <f>H16/D16/3600</f>
        <v/>
      </c>
      <c r="J16" s="24">
        <f>(F16-G16)/(Inputs!$B$6*D16)/3600</f>
        <v/>
      </c>
      <c r="K16" s="24">
        <f>I16+J16</f>
        <v/>
      </c>
      <c r="L16" s="22">
        <f>L15+K16</f>
        <v/>
      </c>
      <c r="M16" s="25">
        <f>L16/(Inputs!$B$10*Inputs!$B$12)</f>
        <v/>
      </c>
      <c r="N16" s="21">
        <f>(L16-K16)/(Inputs!$B$10*Inputs!$B$12)</f>
        <v/>
      </c>
    </row>
    <row r="17">
      <c r="A17" s="19">
        <f>Inputs!$B$39&amp;" 5"</f>
        <v/>
      </c>
      <c r="B17" s="7" t="n">
        <v>2</v>
      </c>
      <c r="C17" s="7" t="n">
        <v>5</v>
      </c>
      <c r="D17" s="22">
        <f>Inputs!$B$16^(B17-1)*Inputs!$B$5^(C17-1)*INDEX(Inputs!$D$38:$D$44,B17)</f>
        <v/>
      </c>
      <c r="E17" s="23">
        <f>INDEX(Inputs!$C$38:$C$44,B17)*Inputs!$B$4^(C17-1)</f>
        <v/>
      </c>
      <c r="F17" s="23">
        <f>IF(C17&lt;9,Inputs!$B$8*E17,Inputs!$B$9*Inputs!$B$8*INDEX(Inputs!$C$38:$C$44,B17)*Inputs!$B$4^7)</f>
        <v/>
      </c>
      <c r="G17" s="23">
        <f>IF(C17=1,F17/Inputs!$B$4,F16)</f>
        <v/>
      </c>
      <c r="H17" s="23">
        <f>IF(C17=1,G17,Inputs!$B$7*F16)</f>
        <v/>
      </c>
      <c r="I17" s="24">
        <f>H17/D17/3600</f>
        <v/>
      </c>
      <c r="J17" s="24">
        <f>(F17-G17)/(Inputs!$B$6*D17)/3600</f>
        <v/>
      </c>
      <c r="K17" s="24">
        <f>I17+J17</f>
        <v/>
      </c>
      <c r="L17" s="22">
        <f>L16+K17</f>
        <v/>
      </c>
      <c r="M17" s="25">
        <f>L17/(Inputs!$B$10*Inputs!$B$12)</f>
        <v/>
      </c>
      <c r="N17" s="21">
        <f>(L17-K17)/(Inputs!$B$10*Inputs!$B$12)</f>
        <v/>
      </c>
    </row>
    <row r="18">
      <c r="A18" s="19">
        <f>Inputs!$B$39&amp;" 6"</f>
        <v/>
      </c>
      <c r="B18" s="7" t="n">
        <v>2</v>
      </c>
      <c r="C18" s="7" t="n">
        <v>6</v>
      </c>
      <c r="D18" s="22">
        <f>Inputs!$B$16^(B18-1)*Inputs!$B$5^(C18-1)*INDEX(Inputs!$D$38:$D$44,B18)</f>
        <v/>
      </c>
      <c r="E18" s="23">
        <f>INDEX(Inputs!$C$38:$C$44,B18)*Inputs!$B$4^(C18-1)</f>
        <v/>
      </c>
      <c r="F18" s="23">
        <f>IF(C18&lt;9,Inputs!$B$8*E18,Inputs!$B$9*Inputs!$B$8*INDEX(Inputs!$C$38:$C$44,B18)*Inputs!$B$4^7)</f>
        <v/>
      </c>
      <c r="G18" s="23">
        <f>IF(C18=1,F18/Inputs!$B$4,F17)</f>
        <v/>
      </c>
      <c r="H18" s="23">
        <f>IF(C18=1,G18,Inputs!$B$7*F17)</f>
        <v/>
      </c>
      <c r="I18" s="24">
        <f>H18/D18/3600</f>
        <v/>
      </c>
      <c r="J18" s="24">
        <f>(F18-G18)/(Inputs!$B$6*D18)/3600</f>
        <v/>
      </c>
      <c r="K18" s="24">
        <f>I18+J18</f>
        <v/>
      </c>
      <c r="L18" s="22">
        <f>L17+K18</f>
        <v/>
      </c>
      <c r="M18" s="25">
        <f>L18/(Inputs!$B$10*Inputs!$B$12)</f>
        <v/>
      </c>
      <c r="N18" s="21">
        <f>(L18-K18)/(Inputs!$B$10*Inputs!$B$12)</f>
        <v/>
      </c>
    </row>
    <row r="19">
      <c r="A19" s="19">
        <f>Inputs!$B$39&amp;" 7"</f>
        <v/>
      </c>
      <c r="B19" s="7" t="n">
        <v>2</v>
      </c>
      <c r="C19" s="7" t="n">
        <v>7</v>
      </c>
      <c r="D19" s="22">
        <f>Inputs!$B$16^(B19-1)*Inputs!$B$5^(C19-1)*INDEX(Inputs!$D$38:$D$44,B19)</f>
        <v/>
      </c>
      <c r="E19" s="23">
        <f>INDEX(Inputs!$C$38:$C$44,B19)*Inputs!$B$4^(C19-1)</f>
        <v/>
      </c>
      <c r="F19" s="23">
        <f>IF(C19&lt;9,Inputs!$B$8*E19,Inputs!$B$9*Inputs!$B$8*INDEX(Inputs!$C$38:$C$44,B19)*Inputs!$B$4^7)</f>
        <v/>
      </c>
      <c r="G19" s="23">
        <f>IF(C19=1,F19/Inputs!$B$4,F18)</f>
        <v/>
      </c>
      <c r="H19" s="23">
        <f>IF(C19=1,G19,Inputs!$B$7*F18)</f>
        <v/>
      </c>
      <c r="I19" s="24">
        <f>H19/D19/3600</f>
        <v/>
      </c>
      <c r="J19" s="24">
        <f>(F19-G19)/(Inputs!$B$6*D19)/3600</f>
        <v/>
      </c>
      <c r="K19" s="24">
        <f>I19+J19</f>
        <v/>
      </c>
      <c r="L19" s="22">
        <f>L18+K19</f>
        <v/>
      </c>
      <c r="M19" s="25">
        <f>L19/(Inputs!$B$10*Inputs!$B$12)</f>
        <v/>
      </c>
      <c r="N19" s="21">
        <f>(L19-K19)/(Inputs!$B$10*Inputs!$B$12)</f>
        <v/>
      </c>
    </row>
    <row r="20">
      <c r="A20" s="19">
        <f>Inputs!$B$39&amp;" 8"</f>
        <v/>
      </c>
      <c r="B20" s="7" t="n">
        <v>2</v>
      </c>
      <c r="C20" s="7" t="n">
        <v>8</v>
      </c>
      <c r="D20" s="22">
        <f>Inputs!$B$16^(B20-1)*Inputs!$B$5^(C20-1)*INDEX(Inputs!$D$38:$D$44,B20)</f>
        <v/>
      </c>
      <c r="E20" s="23">
        <f>INDEX(Inputs!$C$38:$C$44,B20)*Inputs!$B$4^(C20-1)</f>
        <v/>
      </c>
      <c r="F20" s="23">
        <f>IF(C20&lt;9,Inputs!$B$8*E20,Inputs!$B$9*Inputs!$B$8*INDEX(Inputs!$C$38:$C$44,B20)*Inputs!$B$4^7)</f>
        <v/>
      </c>
      <c r="G20" s="23">
        <f>IF(C20=1,F20/Inputs!$B$4,F19)</f>
        <v/>
      </c>
      <c r="H20" s="23">
        <f>IF(C20=1,G20,Inputs!$B$7*F19)</f>
        <v/>
      </c>
      <c r="I20" s="24">
        <f>H20/D20/3600</f>
        <v/>
      </c>
      <c r="J20" s="24">
        <f>(F20-G20)/(Inputs!$B$6*D20)/3600</f>
        <v/>
      </c>
      <c r="K20" s="24">
        <f>I20+J20</f>
        <v/>
      </c>
      <c r="L20" s="22">
        <f>L19+K20</f>
        <v/>
      </c>
      <c r="M20" s="25">
        <f>L20/(Inputs!$B$10*Inputs!$B$12)</f>
        <v/>
      </c>
      <c r="N20" s="21">
        <f>(L20-K20)/(Inputs!$B$10*Inputs!$B$12)</f>
        <v/>
      </c>
    </row>
    <row r="21">
      <c r="A21" s="19">
        <f>Inputs!$B$39&amp;" 9"</f>
        <v/>
      </c>
      <c r="B21" s="7" t="n">
        <v>2</v>
      </c>
      <c r="C21" s="7" t="n">
        <v>9</v>
      </c>
      <c r="D21" s="22">
        <f>Inputs!$B$16^(B21-1)*Inputs!$B$5^(C21-1)*INDEX(Inputs!$D$38:$D$44,B21)</f>
        <v/>
      </c>
      <c r="E21" s="23">
        <f>INDEX(Inputs!$C$38:$C$44,B21)*Inputs!$B$4^(C21-1)</f>
        <v/>
      </c>
      <c r="F21" s="23">
        <f>IF(C21&lt;9,Inputs!$B$8*E21,Inputs!$B$9*Inputs!$B$8*INDEX(Inputs!$C$38:$C$44,B21)*Inputs!$B$4^7)</f>
        <v/>
      </c>
      <c r="G21" s="23">
        <f>IF(C21=1,F21/Inputs!$B$4,F20)</f>
        <v/>
      </c>
      <c r="H21" s="23">
        <f>IF(C21=1,G21,Inputs!$B$7*F20)</f>
        <v/>
      </c>
      <c r="I21" s="24">
        <f>H21/D21/3600</f>
        <v/>
      </c>
      <c r="J21" s="24">
        <f>(F21-G21)/(Inputs!$B$6*D21)/3600</f>
        <v/>
      </c>
      <c r="K21" s="24">
        <f>I21+J21</f>
        <v/>
      </c>
      <c r="L21" s="22">
        <f>L20+K21</f>
        <v/>
      </c>
      <c r="M21" s="25">
        <f>L21/(Inputs!$B$10*Inputs!$B$12)</f>
        <v/>
      </c>
      <c r="N21" s="21">
        <f>(L21-K21)/(Inputs!$B$10*Inputs!$B$12)</f>
        <v/>
      </c>
    </row>
    <row r="22">
      <c r="A22" s="19">
        <f>Inputs!$B$40&amp;" 1"</f>
        <v/>
      </c>
      <c r="B22" s="7" t="n">
        <v>3</v>
      </c>
      <c r="C22" s="7" t="n">
        <v>1</v>
      </c>
      <c r="D22" s="22">
        <f>Inputs!$B$16^(B22-1)*Inputs!$B$5^(C22-1)*INDEX(Inputs!$D$38:$D$44,B22)</f>
        <v/>
      </c>
      <c r="E22" s="23">
        <f>INDEX(Inputs!$C$38:$C$44,B22)*Inputs!$B$4^(C22-1)</f>
        <v/>
      </c>
      <c r="F22" s="23">
        <f>IF(C22&lt;9,Inputs!$B$8*E22,Inputs!$B$9*Inputs!$B$8*INDEX(Inputs!$C$38:$C$44,B22)*Inputs!$B$4^7)</f>
        <v/>
      </c>
      <c r="G22" s="23">
        <f>IF(C22=1,F22/Inputs!$B$4,F21)</f>
        <v/>
      </c>
      <c r="H22" s="23">
        <f>IF(C22=1,G22,Inputs!$B$7*F21)</f>
        <v/>
      </c>
      <c r="I22" s="24">
        <f>H22/D22/3600</f>
        <v/>
      </c>
      <c r="J22" s="24">
        <f>(F22-G22)/(Inputs!$B$6*D22)/3600</f>
        <v/>
      </c>
      <c r="K22" s="24">
        <f>I22+J22</f>
        <v/>
      </c>
      <c r="L22" s="22">
        <f>L21+K22</f>
        <v/>
      </c>
      <c r="M22" s="25">
        <f>L22/(Inputs!$B$10*Inputs!$B$12)</f>
        <v/>
      </c>
      <c r="N22" s="21">
        <f>(L22-K22)/(Inputs!$B$10*Inputs!$B$12)</f>
        <v/>
      </c>
    </row>
    <row r="23">
      <c r="A23" s="19">
        <f>Inputs!$B$40&amp;" 2"</f>
        <v/>
      </c>
      <c r="B23" s="7" t="n">
        <v>3</v>
      </c>
      <c r="C23" s="7" t="n">
        <v>2</v>
      </c>
      <c r="D23" s="22">
        <f>Inputs!$B$16^(B23-1)*Inputs!$B$5^(C23-1)*INDEX(Inputs!$D$38:$D$44,B23)</f>
        <v/>
      </c>
      <c r="E23" s="23">
        <f>INDEX(Inputs!$C$38:$C$44,B23)*Inputs!$B$4^(C23-1)</f>
        <v/>
      </c>
      <c r="F23" s="23">
        <f>IF(C23&lt;9,Inputs!$B$8*E23,Inputs!$B$9*Inputs!$B$8*INDEX(Inputs!$C$38:$C$44,B23)*Inputs!$B$4^7)</f>
        <v/>
      </c>
      <c r="G23" s="23">
        <f>IF(C23=1,F23/Inputs!$B$4,F22)</f>
        <v/>
      </c>
      <c r="H23" s="23">
        <f>IF(C23=1,G23,Inputs!$B$7*F22)</f>
        <v/>
      </c>
      <c r="I23" s="24">
        <f>H23/D23/3600</f>
        <v/>
      </c>
      <c r="J23" s="24">
        <f>(F23-G23)/(Inputs!$B$6*D23)/3600</f>
        <v/>
      </c>
      <c r="K23" s="24">
        <f>I23+J23</f>
        <v/>
      </c>
      <c r="L23" s="22">
        <f>L22+K23</f>
        <v/>
      </c>
      <c r="M23" s="25">
        <f>L23/(Inputs!$B$10*Inputs!$B$12)</f>
        <v/>
      </c>
      <c r="N23" s="21">
        <f>(L23-K23)/(Inputs!$B$10*Inputs!$B$12)</f>
        <v/>
      </c>
    </row>
    <row r="24">
      <c r="A24" s="19">
        <f>Inputs!$B$40&amp;" 3"</f>
        <v/>
      </c>
      <c r="B24" s="7" t="n">
        <v>3</v>
      </c>
      <c r="C24" s="7" t="n">
        <v>3</v>
      </c>
      <c r="D24" s="22">
        <f>Inputs!$B$16^(B24-1)*Inputs!$B$5^(C24-1)*INDEX(Inputs!$D$38:$D$44,B24)</f>
        <v/>
      </c>
      <c r="E24" s="23">
        <f>INDEX(Inputs!$C$38:$C$44,B24)*Inputs!$B$4^(C24-1)</f>
        <v/>
      </c>
      <c r="F24" s="23">
        <f>IF(C24&lt;9,Inputs!$B$8*E24,Inputs!$B$9*Inputs!$B$8*INDEX(Inputs!$C$38:$C$44,B24)*Inputs!$B$4^7)</f>
        <v/>
      </c>
      <c r="G24" s="23">
        <f>IF(C24=1,F24/Inputs!$B$4,F23)</f>
        <v/>
      </c>
      <c r="H24" s="23">
        <f>IF(C24=1,G24,Inputs!$B$7*F23)</f>
        <v/>
      </c>
      <c r="I24" s="24">
        <f>H24/D24/3600</f>
        <v/>
      </c>
      <c r="J24" s="24">
        <f>(F24-G24)/(Inputs!$B$6*D24)/3600</f>
        <v/>
      </c>
      <c r="K24" s="24">
        <f>I24+J24</f>
        <v/>
      </c>
      <c r="L24" s="22">
        <f>L23+K24</f>
        <v/>
      </c>
      <c r="M24" s="25">
        <f>L24/(Inputs!$B$10*Inputs!$B$12)</f>
        <v/>
      </c>
      <c r="N24" s="21">
        <f>(L24-K24)/(Inputs!$B$10*Inputs!$B$12)</f>
        <v/>
      </c>
    </row>
    <row r="25">
      <c r="A25" s="19">
        <f>Inputs!$B$40&amp;" 4"</f>
        <v/>
      </c>
      <c r="B25" s="7" t="n">
        <v>3</v>
      </c>
      <c r="C25" s="7" t="n">
        <v>4</v>
      </c>
      <c r="D25" s="22">
        <f>Inputs!$B$16^(B25-1)*Inputs!$B$5^(C25-1)*INDEX(Inputs!$D$38:$D$44,B25)</f>
        <v/>
      </c>
      <c r="E25" s="23">
        <f>INDEX(Inputs!$C$38:$C$44,B25)*Inputs!$B$4^(C25-1)</f>
        <v/>
      </c>
      <c r="F25" s="23">
        <f>IF(C25&lt;9,Inputs!$B$8*E25,Inputs!$B$9*Inputs!$B$8*INDEX(Inputs!$C$38:$C$44,B25)*Inputs!$B$4^7)</f>
        <v/>
      </c>
      <c r="G25" s="23">
        <f>IF(C25=1,F25/Inputs!$B$4,F24)</f>
        <v/>
      </c>
      <c r="H25" s="23">
        <f>IF(C25=1,G25,Inputs!$B$7*F24)</f>
        <v/>
      </c>
      <c r="I25" s="24">
        <f>H25/D25/3600</f>
        <v/>
      </c>
      <c r="J25" s="24">
        <f>(F25-G25)/(Inputs!$B$6*D25)/3600</f>
        <v/>
      </c>
      <c r="K25" s="24">
        <f>I25+J25</f>
        <v/>
      </c>
      <c r="L25" s="22">
        <f>L24+K25</f>
        <v/>
      </c>
      <c r="M25" s="25">
        <f>L25/(Inputs!$B$10*Inputs!$B$12)</f>
        <v/>
      </c>
      <c r="N25" s="21">
        <f>(L25-K25)/(Inputs!$B$10*Inputs!$B$12)</f>
        <v/>
      </c>
    </row>
    <row r="26">
      <c r="A26" s="19">
        <f>Inputs!$B$40&amp;" 5"</f>
        <v/>
      </c>
      <c r="B26" s="7" t="n">
        <v>3</v>
      </c>
      <c r="C26" s="7" t="n">
        <v>5</v>
      </c>
      <c r="D26" s="22">
        <f>Inputs!$B$16^(B26-1)*Inputs!$B$5^(C26-1)*INDEX(Inputs!$D$38:$D$44,B26)</f>
        <v/>
      </c>
      <c r="E26" s="23">
        <f>INDEX(Inputs!$C$38:$C$44,B26)*Inputs!$B$4^(C26-1)</f>
        <v/>
      </c>
      <c r="F26" s="23">
        <f>IF(C26&lt;9,Inputs!$B$8*E26,Inputs!$B$9*Inputs!$B$8*INDEX(Inputs!$C$38:$C$44,B26)*Inputs!$B$4^7)</f>
        <v/>
      </c>
      <c r="G26" s="23">
        <f>IF(C26=1,F26/Inputs!$B$4,F25)</f>
        <v/>
      </c>
      <c r="H26" s="23">
        <f>IF(C26=1,G26,Inputs!$B$7*F25)</f>
        <v/>
      </c>
      <c r="I26" s="24">
        <f>H26/D26/3600</f>
        <v/>
      </c>
      <c r="J26" s="24">
        <f>(F26-G26)/(Inputs!$B$6*D26)/3600</f>
        <v/>
      </c>
      <c r="K26" s="24">
        <f>I26+J26</f>
        <v/>
      </c>
      <c r="L26" s="22">
        <f>L25+K26</f>
        <v/>
      </c>
      <c r="M26" s="25">
        <f>L26/(Inputs!$B$10*Inputs!$B$12)</f>
        <v/>
      </c>
      <c r="N26" s="21">
        <f>(L26-K26)/(Inputs!$B$10*Inputs!$B$12)</f>
        <v/>
      </c>
    </row>
    <row r="27">
      <c r="A27" s="19">
        <f>Inputs!$B$40&amp;" 6"</f>
        <v/>
      </c>
      <c r="B27" s="7" t="n">
        <v>3</v>
      </c>
      <c r="C27" s="7" t="n">
        <v>6</v>
      </c>
      <c r="D27" s="22">
        <f>Inputs!$B$16^(B27-1)*Inputs!$B$5^(C27-1)*INDEX(Inputs!$D$38:$D$44,B27)</f>
        <v/>
      </c>
      <c r="E27" s="23">
        <f>INDEX(Inputs!$C$38:$C$44,B27)*Inputs!$B$4^(C27-1)</f>
        <v/>
      </c>
      <c r="F27" s="23">
        <f>IF(C27&lt;9,Inputs!$B$8*E27,Inputs!$B$9*Inputs!$B$8*INDEX(Inputs!$C$38:$C$44,B27)*Inputs!$B$4^7)</f>
        <v/>
      </c>
      <c r="G27" s="23">
        <f>IF(C27=1,F27/Inputs!$B$4,F26)</f>
        <v/>
      </c>
      <c r="H27" s="23">
        <f>IF(C27=1,G27,Inputs!$B$7*F26)</f>
        <v/>
      </c>
      <c r="I27" s="24">
        <f>H27/D27/3600</f>
        <v/>
      </c>
      <c r="J27" s="24">
        <f>(F27-G27)/(Inputs!$B$6*D27)/3600</f>
        <v/>
      </c>
      <c r="K27" s="24">
        <f>I27+J27</f>
        <v/>
      </c>
      <c r="L27" s="22">
        <f>L26+K27</f>
        <v/>
      </c>
      <c r="M27" s="25">
        <f>L27/(Inputs!$B$10*Inputs!$B$12)</f>
        <v/>
      </c>
      <c r="N27" s="21">
        <f>(L27-K27)/(Inputs!$B$10*Inputs!$B$12)</f>
        <v/>
      </c>
    </row>
    <row r="28">
      <c r="A28" s="19">
        <f>Inputs!$B$40&amp;" 7"</f>
        <v/>
      </c>
      <c r="B28" s="7" t="n">
        <v>3</v>
      </c>
      <c r="C28" s="7" t="n">
        <v>7</v>
      </c>
      <c r="D28" s="22">
        <f>Inputs!$B$16^(B28-1)*Inputs!$B$5^(C28-1)*INDEX(Inputs!$D$38:$D$44,B28)</f>
        <v/>
      </c>
      <c r="E28" s="23">
        <f>INDEX(Inputs!$C$38:$C$44,B28)*Inputs!$B$4^(C28-1)</f>
        <v/>
      </c>
      <c r="F28" s="23">
        <f>IF(C28&lt;9,Inputs!$B$8*E28,Inputs!$B$9*Inputs!$B$8*INDEX(Inputs!$C$38:$C$44,B28)*Inputs!$B$4^7)</f>
        <v/>
      </c>
      <c r="G28" s="23">
        <f>IF(C28=1,F28/Inputs!$B$4,F27)</f>
        <v/>
      </c>
      <c r="H28" s="23">
        <f>IF(C28=1,G28,Inputs!$B$7*F27)</f>
        <v/>
      </c>
      <c r="I28" s="24">
        <f>H28/D28/3600</f>
        <v/>
      </c>
      <c r="J28" s="24">
        <f>(F28-G28)/(Inputs!$B$6*D28)/3600</f>
        <v/>
      </c>
      <c r="K28" s="24">
        <f>I28+J28</f>
        <v/>
      </c>
      <c r="L28" s="22">
        <f>L27+K28</f>
        <v/>
      </c>
      <c r="M28" s="25">
        <f>L28/(Inputs!$B$10*Inputs!$B$12)</f>
        <v/>
      </c>
      <c r="N28" s="21">
        <f>(L28-K28)/(Inputs!$B$10*Inputs!$B$12)</f>
        <v/>
      </c>
    </row>
    <row r="29">
      <c r="A29" s="19">
        <f>Inputs!$B$40&amp;" 8"</f>
        <v/>
      </c>
      <c r="B29" s="7" t="n">
        <v>3</v>
      </c>
      <c r="C29" s="7" t="n">
        <v>8</v>
      </c>
      <c r="D29" s="22">
        <f>Inputs!$B$16^(B29-1)*Inputs!$B$5^(C29-1)*INDEX(Inputs!$D$38:$D$44,B29)</f>
        <v/>
      </c>
      <c r="E29" s="23">
        <f>INDEX(Inputs!$C$38:$C$44,B29)*Inputs!$B$4^(C29-1)</f>
        <v/>
      </c>
      <c r="F29" s="23">
        <f>IF(C29&lt;9,Inputs!$B$8*E29,Inputs!$B$9*Inputs!$B$8*INDEX(Inputs!$C$38:$C$44,B29)*Inputs!$B$4^7)</f>
        <v/>
      </c>
      <c r="G29" s="23">
        <f>IF(C29=1,F29/Inputs!$B$4,F28)</f>
        <v/>
      </c>
      <c r="H29" s="23">
        <f>IF(C29=1,G29,Inputs!$B$7*F28)</f>
        <v/>
      </c>
      <c r="I29" s="24">
        <f>H29/D29/3600</f>
        <v/>
      </c>
      <c r="J29" s="24">
        <f>(F29-G29)/(Inputs!$B$6*D29)/3600</f>
        <v/>
      </c>
      <c r="K29" s="24">
        <f>I29+J29</f>
        <v/>
      </c>
      <c r="L29" s="22">
        <f>L28+K29</f>
        <v/>
      </c>
      <c r="M29" s="25">
        <f>L29/(Inputs!$B$10*Inputs!$B$12)</f>
        <v/>
      </c>
      <c r="N29" s="21">
        <f>(L29-K29)/(Inputs!$B$10*Inputs!$B$12)</f>
        <v/>
      </c>
    </row>
    <row r="30">
      <c r="A30" s="19">
        <f>Inputs!$B$40&amp;" 9"</f>
        <v/>
      </c>
      <c r="B30" s="7" t="n">
        <v>3</v>
      </c>
      <c r="C30" s="7" t="n">
        <v>9</v>
      </c>
      <c r="D30" s="22">
        <f>Inputs!$B$16^(B30-1)*Inputs!$B$5^(C30-1)*INDEX(Inputs!$D$38:$D$44,B30)</f>
        <v/>
      </c>
      <c r="E30" s="23">
        <f>INDEX(Inputs!$C$38:$C$44,B30)*Inputs!$B$4^(C30-1)</f>
        <v/>
      </c>
      <c r="F30" s="23">
        <f>IF(C30&lt;9,Inputs!$B$8*E30,Inputs!$B$9*Inputs!$B$8*INDEX(Inputs!$C$38:$C$44,B30)*Inputs!$B$4^7)</f>
        <v/>
      </c>
      <c r="G30" s="23">
        <f>IF(C30=1,F30/Inputs!$B$4,F29)</f>
        <v/>
      </c>
      <c r="H30" s="23">
        <f>IF(C30=1,G30,Inputs!$B$7*F29)</f>
        <v/>
      </c>
      <c r="I30" s="24">
        <f>H30/D30/3600</f>
        <v/>
      </c>
      <c r="J30" s="24">
        <f>(F30-G30)/(Inputs!$B$6*D30)/3600</f>
        <v/>
      </c>
      <c r="K30" s="24">
        <f>I30+J30</f>
        <v/>
      </c>
      <c r="L30" s="22">
        <f>L29+K30</f>
        <v/>
      </c>
      <c r="M30" s="25">
        <f>L30/(Inputs!$B$10*Inputs!$B$12)</f>
        <v/>
      </c>
      <c r="N30" s="21">
        <f>(L30-K30)/(Inputs!$B$10*Inputs!$B$12)</f>
        <v/>
      </c>
    </row>
    <row r="31">
      <c r="A31" s="19">
        <f>Inputs!$B$41&amp;" 1"</f>
        <v/>
      </c>
      <c r="B31" s="7" t="n">
        <v>4</v>
      </c>
      <c r="C31" s="7" t="n">
        <v>1</v>
      </c>
      <c r="D31" s="22">
        <f>Inputs!$B$16^(B31-1)*Inputs!$B$5^(C31-1)*INDEX(Inputs!$D$38:$D$44,B31)</f>
        <v/>
      </c>
      <c r="E31" s="23">
        <f>INDEX(Inputs!$C$38:$C$44,B31)*Inputs!$B$4^(C31-1)</f>
        <v/>
      </c>
      <c r="F31" s="23">
        <f>IF(C31&lt;9,Inputs!$B$8*E31,Inputs!$B$9*Inputs!$B$8*INDEX(Inputs!$C$38:$C$44,B31)*Inputs!$B$4^7)</f>
        <v/>
      </c>
      <c r="G31" s="23">
        <f>IF(C31=1,F31/Inputs!$B$4,F30)</f>
        <v/>
      </c>
      <c r="H31" s="23">
        <f>IF(C31=1,G31,Inputs!$B$7*F30)</f>
        <v/>
      </c>
      <c r="I31" s="24">
        <f>H31/D31/3600</f>
        <v/>
      </c>
      <c r="J31" s="24">
        <f>(F31-G31)/(Inputs!$B$6*D31)/3600</f>
        <v/>
      </c>
      <c r="K31" s="24">
        <f>I31+J31</f>
        <v/>
      </c>
      <c r="L31" s="22">
        <f>L30+K31</f>
        <v/>
      </c>
      <c r="M31" s="25">
        <f>L31/(Inputs!$B$10*Inputs!$B$12)</f>
        <v/>
      </c>
      <c r="N31" s="21">
        <f>(L31-K31)/(Inputs!$B$10*Inputs!$B$12)</f>
        <v/>
      </c>
    </row>
    <row r="32">
      <c r="A32" s="19">
        <f>Inputs!$B$41&amp;" 2"</f>
        <v/>
      </c>
      <c r="B32" s="7" t="n">
        <v>4</v>
      </c>
      <c r="C32" s="7" t="n">
        <v>2</v>
      </c>
      <c r="D32" s="22">
        <f>Inputs!$B$16^(B32-1)*Inputs!$B$5^(C32-1)*INDEX(Inputs!$D$38:$D$44,B32)</f>
        <v/>
      </c>
      <c r="E32" s="23">
        <f>INDEX(Inputs!$C$38:$C$44,B32)*Inputs!$B$4^(C32-1)</f>
        <v/>
      </c>
      <c r="F32" s="23">
        <f>IF(C32&lt;9,Inputs!$B$8*E32,Inputs!$B$9*Inputs!$B$8*INDEX(Inputs!$C$38:$C$44,B32)*Inputs!$B$4^7)</f>
        <v/>
      </c>
      <c r="G32" s="23">
        <f>IF(C32=1,F32/Inputs!$B$4,F31)</f>
        <v/>
      </c>
      <c r="H32" s="23">
        <f>IF(C32=1,G32,Inputs!$B$7*F31)</f>
        <v/>
      </c>
      <c r="I32" s="24">
        <f>H32/D32/3600</f>
        <v/>
      </c>
      <c r="J32" s="24">
        <f>(F32-G32)/(Inputs!$B$6*D32)/3600</f>
        <v/>
      </c>
      <c r="K32" s="24">
        <f>I32+J32</f>
        <v/>
      </c>
      <c r="L32" s="22">
        <f>L31+K32</f>
        <v/>
      </c>
      <c r="M32" s="25">
        <f>L32/(Inputs!$B$10*Inputs!$B$12)</f>
        <v/>
      </c>
      <c r="N32" s="21">
        <f>(L32-K32)/(Inputs!$B$10*Inputs!$B$12)</f>
        <v/>
      </c>
    </row>
    <row r="33">
      <c r="A33" s="19">
        <f>Inputs!$B$41&amp;" 3"</f>
        <v/>
      </c>
      <c r="B33" s="7" t="n">
        <v>4</v>
      </c>
      <c r="C33" s="7" t="n">
        <v>3</v>
      </c>
      <c r="D33" s="22">
        <f>Inputs!$B$16^(B33-1)*Inputs!$B$5^(C33-1)*INDEX(Inputs!$D$38:$D$44,B33)</f>
        <v/>
      </c>
      <c r="E33" s="23">
        <f>INDEX(Inputs!$C$38:$C$44,B33)*Inputs!$B$4^(C33-1)</f>
        <v/>
      </c>
      <c r="F33" s="23">
        <f>IF(C33&lt;9,Inputs!$B$8*E33,Inputs!$B$9*Inputs!$B$8*INDEX(Inputs!$C$38:$C$44,B33)*Inputs!$B$4^7)</f>
        <v/>
      </c>
      <c r="G33" s="23">
        <f>IF(C33=1,F33/Inputs!$B$4,F32)</f>
        <v/>
      </c>
      <c r="H33" s="23">
        <f>IF(C33=1,G33,Inputs!$B$7*F32)</f>
        <v/>
      </c>
      <c r="I33" s="24">
        <f>H33/D33/3600</f>
        <v/>
      </c>
      <c r="J33" s="24">
        <f>(F33-G33)/(Inputs!$B$6*D33)/3600</f>
        <v/>
      </c>
      <c r="K33" s="24">
        <f>I33+J33</f>
        <v/>
      </c>
      <c r="L33" s="22">
        <f>L32+K33</f>
        <v/>
      </c>
      <c r="M33" s="25">
        <f>L33/(Inputs!$B$10*Inputs!$B$12)</f>
        <v/>
      </c>
      <c r="N33" s="21">
        <f>(L33-K33)/(Inputs!$B$10*Inputs!$B$12)</f>
        <v/>
      </c>
    </row>
    <row r="34">
      <c r="A34" s="19">
        <f>Inputs!$B$41&amp;" 4"</f>
        <v/>
      </c>
      <c r="B34" s="7" t="n">
        <v>4</v>
      </c>
      <c r="C34" s="7" t="n">
        <v>4</v>
      </c>
      <c r="D34" s="22">
        <f>Inputs!$B$16^(B34-1)*Inputs!$B$5^(C34-1)*INDEX(Inputs!$D$38:$D$44,B34)</f>
        <v/>
      </c>
      <c r="E34" s="23">
        <f>INDEX(Inputs!$C$38:$C$44,B34)*Inputs!$B$4^(C34-1)</f>
        <v/>
      </c>
      <c r="F34" s="23">
        <f>IF(C34&lt;9,Inputs!$B$8*E34,Inputs!$B$9*Inputs!$B$8*INDEX(Inputs!$C$38:$C$44,B34)*Inputs!$B$4^7)</f>
        <v/>
      </c>
      <c r="G34" s="23">
        <f>IF(C34=1,F34/Inputs!$B$4,F33)</f>
        <v/>
      </c>
      <c r="H34" s="23">
        <f>IF(C34=1,G34,Inputs!$B$7*F33)</f>
        <v/>
      </c>
      <c r="I34" s="24">
        <f>H34/D34/3600</f>
        <v/>
      </c>
      <c r="J34" s="24">
        <f>(F34-G34)/(Inputs!$B$6*D34)/3600</f>
        <v/>
      </c>
      <c r="K34" s="24">
        <f>I34+J34</f>
        <v/>
      </c>
      <c r="L34" s="22">
        <f>L33+K34</f>
        <v/>
      </c>
      <c r="M34" s="25">
        <f>L34/(Inputs!$B$10*Inputs!$B$12)</f>
        <v/>
      </c>
      <c r="N34" s="21">
        <f>(L34-K34)/(Inputs!$B$10*Inputs!$B$12)</f>
        <v/>
      </c>
    </row>
    <row r="35">
      <c r="A35" s="19">
        <f>Inputs!$B$41&amp;" 5"</f>
        <v/>
      </c>
      <c r="B35" s="7" t="n">
        <v>4</v>
      </c>
      <c r="C35" s="7" t="n">
        <v>5</v>
      </c>
      <c r="D35" s="22">
        <f>Inputs!$B$16^(B35-1)*Inputs!$B$5^(C35-1)*INDEX(Inputs!$D$38:$D$44,B35)</f>
        <v/>
      </c>
      <c r="E35" s="23">
        <f>INDEX(Inputs!$C$38:$C$44,B35)*Inputs!$B$4^(C35-1)</f>
        <v/>
      </c>
      <c r="F35" s="23">
        <f>IF(C35&lt;9,Inputs!$B$8*E35,Inputs!$B$9*Inputs!$B$8*INDEX(Inputs!$C$38:$C$44,B35)*Inputs!$B$4^7)</f>
        <v/>
      </c>
      <c r="G35" s="23">
        <f>IF(C35=1,F35/Inputs!$B$4,F34)</f>
        <v/>
      </c>
      <c r="H35" s="23">
        <f>IF(C35=1,G35,Inputs!$B$7*F34)</f>
        <v/>
      </c>
      <c r="I35" s="24">
        <f>H35/D35/3600</f>
        <v/>
      </c>
      <c r="J35" s="24">
        <f>(F35-G35)/(Inputs!$B$6*D35)/3600</f>
        <v/>
      </c>
      <c r="K35" s="24">
        <f>I35+J35</f>
        <v/>
      </c>
      <c r="L35" s="22">
        <f>L34+K35</f>
        <v/>
      </c>
      <c r="M35" s="25">
        <f>L35/(Inputs!$B$10*Inputs!$B$12)</f>
        <v/>
      </c>
      <c r="N35" s="21">
        <f>(L35-K35)/(Inputs!$B$10*Inputs!$B$12)</f>
        <v/>
      </c>
    </row>
    <row r="36">
      <c r="A36" s="19">
        <f>Inputs!$B$41&amp;" 6"</f>
        <v/>
      </c>
      <c r="B36" s="7" t="n">
        <v>4</v>
      </c>
      <c r="C36" s="7" t="n">
        <v>6</v>
      </c>
      <c r="D36" s="22">
        <f>Inputs!$B$16^(B36-1)*Inputs!$B$5^(C36-1)*INDEX(Inputs!$D$38:$D$44,B36)</f>
        <v/>
      </c>
      <c r="E36" s="23">
        <f>INDEX(Inputs!$C$38:$C$44,B36)*Inputs!$B$4^(C36-1)</f>
        <v/>
      </c>
      <c r="F36" s="23">
        <f>IF(C36&lt;9,Inputs!$B$8*E36,Inputs!$B$9*Inputs!$B$8*INDEX(Inputs!$C$38:$C$44,B36)*Inputs!$B$4^7)</f>
        <v/>
      </c>
      <c r="G36" s="23">
        <f>IF(C36=1,F36/Inputs!$B$4,F35)</f>
        <v/>
      </c>
      <c r="H36" s="23">
        <f>IF(C36=1,G36,Inputs!$B$7*F35)</f>
        <v/>
      </c>
      <c r="I36" s="24">
        <f>H36/D36/3600</f>
        <v/>
      </c>
      <c r="J36" s="24">
        <f>(F36-G36)/(Inputs!$B$6*D36)/3600</f>
        <v/>
      </c>
      <c r="K36" s="24">
        <f>I36+J36</f>
        <v/>
      </c>
      <c r="L36" s="22">
        <f>L35+K36</f>
        <v/>
      </c>
      <c r="M36" s="25">
        <f>L36/(Inputs!$B$10*Inputs!$B$12)</f>
        <v/>
      </c>
      <c r="N36" s="21">
        <f>(L36-K36)/(Inputs!$B$10*Inputs!$B$12)</f>
        <v/>
      </c>
    </row>
    <row r="37">
      <c r="A37" s="19">
        <f>Inputs!$B$41&amp;" 7"</f>
        <v/>
      </c>
      <c r="B37" s="7" t="n">
        <v>4</v>
      </c>
      <c r="C37" s="7" t="n">
        <v>7</v>
      </c>
      <c r="D37" s="22">
        <f>Inputs!$B$16^(B37-1)*Inputs!$B$5^(C37-1)*INDEX(Inputs!$D$38:$D$44,B37)</f>
        <v/>
      </c>
      <c r="E37" s="23">
        <f>INDEX(Inputs!$C$38:$C$44,B37)*Inputs!$B$4^(C37-1)</f>
        <v/>
      </c>
      <c r="F37" s="23">
        <f>IF(C37&lt;9,Inputs!$B$8*E37,Inputs!$B$9*Inputs!$B$8*INDEX(Inputs!$C$38:$C$44,B37)*Inputs!$B$4^7)</f>
        <v/>
      </c>
      <c r="G37" s="23">
        <f>IF(C37=1,F37/Inputs!$B$4,F36)</f>
        <v/>
      </c>
      <c r="H37" s="23">
        <f>IF(C37=1,G37,Inputs!$B$7*F36)</f>
        <v/>
      </c>
      <c r="I37" s="24">
        <f>H37/D37/3600</f>
        <v/>
      </c>
      <c r="J37" s="24">
        <f>(F37-G37)/(Inputs!$B$6*D37)/3600</f>
        <v/>
      </c>
      <c r="K37" s="24">
        <f>I37+J37</f>
        <v/>
      </c>
      <c r="L37" s="22">
        <f>L36+K37</f>
        <v/>
      </c>
      <c r="M37" s="25">
        <f>L37/(Inputs!$B$10*Inputs!$B$12)</f>
        <v/>
      </c>
      <c r="N37" s="21">
        <f>(L37-K37)/(Inputs!$B$10*Inputs!$B$12)</f>
        <v/>
      </c>
    </row>
    <row r="38">
      <c r="A38" s="19">
        <f>Inputs!$B$41&amp;" 8"</f>
        <v/>
      </c>
      <c r="B38" s="7" t="n">
        <v>4</v>
      </c>
      <c r="C38" s="7" t="n">
        <v>8</v>
      </c>
      <c r="D38" s="22">
        <f>Inputs!$B$16^(B38-1)*Inputs!$B$5^(C38-1)*INDEX(Inputs!$D$38:$D$44,B38)</f>
        <v/>
      </c>
      <c r="E38" s="23">
        <f>INDEX(Inputs!$C$38:$C$44,B38)*Inputs!$B$4^(C38-1)</f>
        <v/>
      </c>
      <c r="F38" s="23">
        <f>IF(C38&lt;9,Inputs!$B$8*E38,Inputs!$B$9*Inputs!$B$8*INDEX(Inputs!$C$38:$C$44,B38)*Inputs!$B$4^7)</f>
        <v/>
      </c>
      <c r="G38" s="23">
        <f>IF(C38=1,F38/Inputs!$B$4,F37)</f>
        <v/>
      </c>
      <c r="H38" s="23">
        <f>IF(C38=1,G38,Inputs!$B$7*F37)</f>
        <v/>
      </c>
      <c r="I38" s="24">
        <f>H38/D38/3600</f>
        <v/>
      </c>
      <c r="J38" s="24">
        <f>(F38-G38)/(Inputs!$B$6*D38)/3600</f>
        <v/>
      </c>
      <c r="K38" s="24">
        <f>I38+J38</f>
        <v/>
      </c>
      <c r="L38" s="22">
        <f>L37+K38</f>
        <v/>
      </c>
      <c r="M38" s="25">
        <f>L38/(Inputs!$B$10*Inputs!$B$12)</f>
        <v/>
      </c>
      <c r="N38" s="21">
        <f>(L38-K38)/(Inputs!$B$10*Inputs!$B$12)</f>
        <v/>
      </c>
    </row>
    <row r="39">
      <c r="A39" s="19">
        <f>Inputs!$B$41&amp;" 9"</f>
        <v/>
      </c>
      <c r="B39" s="7" t="n">
        <v>4</v>
      </c>
      <c r="C39" s="7" t="n">
        <v>9</v>
      </c>
      <c r="D39" s="22">
        <f>Inputs!$B$16^(B39-1)*Inputs!$B$5^(C39-1)*INDEX(Inputs!$D$38:$D$44,B39)</f>
        <v/>
      </c>
      <c r="E39" s="23">
        <f>INDEX(Inputs!$C$38:$C$44,B39)*Inputs!$B$4^(C39-1)</f>
        <v/>
      </c>
      <c r="F39" s="23">
        <f>IF(C39&lt;9,Inputs!$B$8*E39,Inputs!$B$9*Inputs!$B$8*INDEX(Inputs!$C$38:$C$44,B39)*Inputs!$B$4^7)</f>
        <v/>
      </c>
      <c r="G39" s="23">
        <f>IF(C39=1,F39/Inputs!$B$4,F38)</f>
        <v/>
      </c>
      <c r="H39" s="23">
        <f>IF(C39=1,G39,Inputs!$B$7*F38)</f>
        <v/>
      </c>
      <c r="I39" s="24">
        <f>H39/D39/3600</f>
        <v/>
      </c>
      <c r="J39" s="24">
        <f>(F39-G39)/(Inputs!$B$6*D39)/3600</f>
        <v/>
      </c>
      <c r="K39" s="24">
        <f>I39+J39</f>
        <v/>
      </c>
      <c r="L39" s="22">
        <f>L38+K39</f>
        <v/>
      </c>
      <c r="M39" s="25">
        <f>L39/(Inputs!$B$10*Inputs!$B$12)</f>
        <v/>
      </c>
      <c r="N39" s="21">
        <f>(L39-K39)/(Inputs!$B$10*Inputs!$B$12)</f>
        <v/>
      </c>
    </row>
    <row r="40">
      <c r="A40" s="19">
        <f>Inputs!$B$42&amp;" 1"</f>
        <v/>
      </c>
      <c r="B40" s="7" t="n">
        <v>5</v>
      </c>
      <c r="C40" s="7" t="n">
        <v>1</v>
      </c>
      <c r="D40" s="22">
        <f>Inputs!$B$16^(B40-1)*Inputs!$B$5^(C40-1)*INDEX(Inputs!$D$38:$D$44,B40)</f>
        <v/>
      </c>
      <c r="E40" s="23">
        <f>INDEX(Inputs!$C$38:$C$44,B40)*Inputs!$B$4^(C40-1)</f>
        <v/>
      </c>
      <c r="F40" s="23">
        <f>IF(C40&lt;9,Inputs!$B$8*E40,Inputs!$B$9*Inputs!$B$8*INDEX(Inputs!$C$38:$C$44,B40)*Inputs!$B$4^7)</f>
        <v/>
      </c>
      <c r="G40" s="23">
        <f>IF(C40=1,F40/Inputs!$B$4,F39)</f>
        <v/>
      </c>
      <c r="H40" s="23">
        <f>IF(C40=1,G40,Inputs!$B$7*F39)</f>
        <v/>
      </c>
      <c r="I40" s="24">
        <f>H40/D40/3600</f>
        <v/>
      </c>
      <c r="J40" s="24">
        <f>(F40-G40)/(Inputs!$B$6*D40)/3600</f>
        <v/>
      </c>
      <c r="K40" s="24">
        <f>I40+J40</f>
        <v/>
      </c>
      <c r="L40" s="22">
        <f>L39+K40</f>
        <v/>
      </c>
      <c r="M40" s="25">
        <f>L40/(Inputs!$B$10*Inputs!$B$12)</f>
        <v/>
      </c>
      <c r="N40" s="21">
        <f>(L40-K40)/(Inputs!$B$10*Inputs!$B$12)</f>
        <v/>
      </c>
    </row>
    <row r="41">
      <c r="A41" s="19">
        <f>Inputs!$B$42&amp;" 2"</f>
        <v/>
      </c>
      <c r="B41" s="7" t="n">
        <v>5</v>
      </c>
      <c r="C41" s="7" t="n">
        <v>2</v>
      </c>
      <c r="D41" s="22">
        <f>Inputs!$B$16^(B41-1)*Inputs!$B$5^(C41-1)*INDEX(Inputs!$D$38:$D$44,B41)</f>
        <v/>
      </c>
      <c r="E41" s="23">
        <f>INDEX(Inputs!$C$38:$C$44,B41)*Inputs!$B$4^(C41-1)</f>
        <v/>
      </c>
      <c r="F41" s="23">
        <f>IF(C41&lt;9,Inputs!$B$8*E41,Inputs!$B$9*Inputs!$B$8*INDEX(Inputs!$C$38:$C$44,B41)*Inputs!$B$4^7)</f>
        <v/>
      </c>
      <c r="G41" s="23">
        <f>IF(C41=1,F41/Inputs!$B$4,F40)</f>
        <v/>
      </c>
      <c r="H41" s="23">
        <f>IF(C41=1,G41,Inputs!$B$7*F40)</f>
        <v/>
      </c>
      <c r="I41" s="24">
        <f>H41/D41/3600</f>
        <v/>
      </c>
      <c r="J41" s="24">
        <f>(F41-G41)/(Inputs!$B$6*D41)/3600</f>
        <v/>
      </c>
      <c r="K41" s="24">
        <f>I41+J41</f>
        <v/>
      </c>
      <c r="L41" s="22">
        <f>L40+K41</f>
        <v/>
      </c>
      <c r="M41" s="25">
        <f>L41/(Inputs!$B$10*Inputs!$B$12)</f>
        <v/>
      </c>
      <c r="N41" s="21">
        <f>(L41-K41)/(Inputs!$B$10*Inputs!$B$12)</f>
        <v/>
      </c>
    </row>
    <row r="42">
      <c r="A42" s="19">
        <f>Inputs!$B$42&amp;" 3"</f>
        <v/>
      </c>
      <c r="B42" s="7" t="n">
        <v>5</v>
      </c>
      <c r="C42" s="7" t="n">
        <v>3</v>
      </c>
      <c r="D42" s="22">
        <f>Inputs!$B$16^(B42-1)*Inputs!$B$5^(C42-1)*INDEX(Inputs!$D$38:$D$44,B42)</f>
        <v/>
      </c>
      <c r="E42" s="23">
        <f>INDEX(Inputs!$C$38:$C$44,B42)*Inputs!$B$4^(C42-1)</f>
        <v/>
      </c>
      <c r="F42" s="23">
        <f>IF(C42&lt;9,Inputs!$B$8*E42,Inputs!$B$9*Inputs!$B$8*INDEX(Inputs!$C$38:$C$44,B42)*Inputs!$B$4^7)</f>
        <v/>
      </c>
      <c r="G42" s="23">
        <f>IF(C42=1,F42/Inputs!$B$4,F41)</f>
        <v/>
      </c>
      <c r="H42" s="23">
        <f>IF(C42=1,G42,Inputs!$B$7*F41)</f>
        <v/>
      </c>
      <c r="I42" s="24">
        <f>H42/D42/3600</f>
        <v/>
      </c>
      <c r="J42" s="24">
        <f>(F42-G42)/(Inputs!$B$6*D42)/3600</f>
        <v/>
      </c>
      <c r="K42" s="24">
        <f>I42+J42</f>
        <v/>
      </c>
      <c r="L42" s="22">
        <f>L41+K42</f>
        <v/>
      </c>
      <c r="M42" s="25">
        <f>L42/(Inputs!$B$10*Inputs!$B$12)</f>
        <v/>
      </c>
      <c r="N42" s="21">
        <f>(L42-K42)/(Inputs!$B$10*Inputs!$B$12)</f>
        <v/>
      </c>
    </row>
    <row r="43">
      <c r="A43" s="19">
        <f>Inputs!$B$42&amp;" 4"</f>
        <v/>
      </c>
      <c r="B43" s="7" t="n">
        <v>5</v>
      </c>
      <c r="C43" s="7" t="n">
        <v>4</v>
      </c>
      <c r="D43" s="22">
        <f>Inputs!$B$16^(B43-1)*Inputs!$B$5^(C43-1)*INDEX(Inputs!$D$38:$D$44,B43)</f>
        <v/>
      </c>
      <c r="E43" s="23">
        <f>INDEX(Inputs!$C$38:$C$44,B43)*Inputs!$B$4^(C43-1)</f>
        <v/>
      </c>
      <c r="F43" s="23">
        <f>IF(C43&lt;9,Inputs!$B$8*E43,Inputs!$B$9*Inputs!$B$8*INDEX(Inputs!$C$38:$C$44,B43)*Inputs!$B$4^7)</f>
        <v/>
      </c>
      <c r="G43" s="23">
        <f>IF(C43=1,F43/Inputs!$B$4,F42)</f>
        <v/>
      </c>
      <c r="H43" s="23">
        <f>IF(C43=1,G43,Inputs!$B$7*F42)</f>
        <v/>
      </c>
      <c r="I43" s="24">
        <f>H43/D43/3600</f>
        <v/>
      </c>
      <c r="J43" s="24">
        <f>(F43-G43)/(Inputs!$B$6*D43)/3600</f>
        <v/>
      </c>
      <c r="K43" s="24">
        <f>I43+J43</f>
        <v/>
      </c>
      <c r="L43" s="22">
        <f>L42+K43</f>
        <v/>
      </c>
      <c r="M43" s="25">
        <f>L43/(Inputs!$B$10*Inputs!$B$12)</f>
        <v/>
      </c>
      <c r="N43" s="21">
        <f>(L43-K43)/(Inputs!$B$10*Inputs!$B$12)</f>
        <v/>
      </c>
    </row>
    <row r="44">
      <c r="A44" s="19">
        <f>Inputs!$B$42&amp;" 5"</f>
        <v/>
      </c>
      <c r="B44" s="7" t="n">
        <v>5</v>
      </c>
      <c r="C44" s="7" t="n">
        <v>5</v>
      </c>
      <c r="D44" s="22">
        <f>Inputs!$B$16^(B44-1)*Inputs!$B$5^(C44-1)*INDEX(Inputs!$D$38:$D$44,B44)</f>
        <v/>
      </c>
      <c r="E44" s="23">
        <f>INDEX(Inputs!$C$38:$C$44,B44)*Inputs!$B$4^(C44-1)</f>
        <v/>
      </c>
      <c r="F44" s="23">
        <f>IF(C44&lt;9,Inputs!$B$8*E44,Inputs!$B$9*Inputs!$B$8*INDEX(Inputs!$C$38:$C$44,B44)*Inputs!$B$4^7)</f>
        <v/>
      </c>
      <c r="G44" s="23">
        <f>IF(C44=1,F44/Inputs!$B$4,F43)</f>
        <v/>
      </c>
      <c r="H44" s="23">
        <f>IF(C44=1,G44,Inputs!$B$7*F43)</f>
        <v/>
      </c>
      <c r="I44" s="24">
        <f>H44/D44/3600</f>
        <v/>
      </c>
      <c r="J44" s="24">
        <f>(F44-G44)/(Inputs!$B$6*D44)/3600</f>
        <v/>
      </c>
      <c r="K44" s="24">
        <f>I44+J44</f>
        <v/>
      </c>
      <c r="L44" s="22">
        <f>L43+K44</f>
        <v/>
      </c>
      <c r="M44" s="25">
        <f>L44/(Inputs!$B$10*Inputs!$B$12)</f>
        <v/>
      </c>
      <c r="N44" s="21">
        <f>(L44-K44)/(Inputs!$B$10*Inputs!$B$12)</f>
        <v/>
      </c>
    </row>
    <row r="45">
      <c r="A45" s="19">
        <f>Inputs!$B$42&amp;" 6"</f>
        <v/>
      </c>
      <c r="B45" s="7" t="n">
        <v>5</v>
      </c>
      <c r="C45" s="7" t="n">
        <v>6</v>
      </c>
      <c r="D45" s="22">
        <f>Inputs!$B$16^(B45-1)*Inputs!$B$5^(C45-1)*INDEX(Inputs!$D$38:$D$44,B45)</f>
        <v/>
      </c>
      <c r="E45" s="23">
        <f>INDEX(Inputs!$C$38:$C$44,B45)*Inputs!$B$4^(C45-1)</f>
        <v/>
      </c>
      <c r="F45" s="23">
        <f>IF(C45&lt;9,Inputs!$B$8*E45,Inputs!$B$9*Inputs!$B$8*INDEX(Inputs!$C$38:$C$44,B45)*Inputs!$B$4^7)</f>
        <v/>
      </c>
      <c r="G45" s="23">
        <f>IF(C45=1,F45/Inputs!$B$4,F44)</f>
        <v/>
      </c>
      <c r="H45" s="23">
        <f>IF(C45=1,G45,Inputs!$B$7*F44)</f>
        <v/>
      </c>
      <c r="I45" s="24">
        <f>H45/D45/3600</f>
        <v/>
      </c>
      <c r="J45" s="24">
        <f>(F45-G45)/(Inputs!$B$6*D45)/3600</f>
        <v/>
      </c>
      <c r="K45" s="24">
        <f>I45+J45</f>
        <v/>
      </c>
      <c r="L45" s="22">
        <f>L44+K45</f>
        <v/>
      </c>
      <c r="M45" s="25">
        <f>L45/(Inputs!$B$10*Inputs!$B$12)</f>
        <v/>
      </c>
      <c r="N45" s="21">
        <f>(L45-K45)/(Inputs!$B$10*Inputs!$B$12)</f>
        <v/>
      </c>
    </row>
    <row r="46">
      <c r="A46" s="19">
        <f>Inputs!$B$42&amp;" 7"</f>
        <v/>
      </c>
      <c r="B46" s="7" t="n">
        <v>5</v>
      </c>
      <c r="C46" s="7" t="n">
        <v>7</v>
      </c>
      <c r="D46" s="22">
        <f>Inputs!$B$16^(B46-1)*Inputs!$B$5^(C46-1)*INDEX(Inputs!$D$38:$D$44,B46)</f>
        <v/>
      </c>
      <c r="E46" s="23">
        <f>INDEX(Inputs!$C$38:$C$44,B46)*Inputs!$B$4^(C46-1)</f>
        <v/>
      </c>
      <c r="F46" s="23">
        <f>IF(C46&lt;9,Inputs!$B$8*E46,Inputs!$B$9*Inputs!$B$8*INDEX(Inputs!$C$38:$C$44,B46)*Inputs!$B$4^7)</f>
        <v/>
      </c>
      <c r="G46" s="23">
        <f>IF(C46=1,F46/Inputs!$B$4,F45)</f>
        <v/>
      </c>
      <c r="H46" s="23">
        <f>IF(C46=1,G46,Inputs!$B$7*F45)</f>
        <v/>
      </c>
      <c r="I46" s="24">
        <f>H46/D46/3600</f>
        <v/>
      </c>
      <c r="J46" s="24">
        <f>(F46-G46)/(Inputs!$B$6*D46)/3600</f>
        <v/>
      </c>
      <c r="K46" s="24">
        <f>I46+J46</f>
        <v/>
      </c>
      <c r="L46" s="22">
        <f>L45+K46</f>
        <v/>
      </c>
      <c r="M46" s="25">
        <f>L46/(Inputs!$B$10*Inputs!$B$12)</f>
        <v/>
      </c>
      <c r="N46" s="21">
        <f>(L46-K46)/(Inputs!$B$10*Inputs!$B$12)</f>
        <v/>
      </c>
    </row>
    <row r="47">
      <c r="A47" s="19">
        <f>Inputs!$B$42&amp;" 8"</f>
        <v/>
      </c>
      <c r="B47" s="7" t="n">
        <v>5</v>
      </c>
      <c r="C47" s="7" t="n">
        <v>8</v>
      </c>
      <c r="D47" s="22">
        <f>Inputs!$B$16^(B47-1)*Inputs!$B$5^(C47-1)*INDEX(Inputs!$D$38:$D$44,B47)</f>
        <v/>
      </c>
      <c r="E47" s="23">
        <f>INDEX(Inputs!$C$38:$C$44,B47)*Inputs!$B$4^(C47-1)</f>
        <v/>
      </c>
      <c r="F47" s="23">
        <f>IF(C47&lt;9,Inputs!$B$8*E47,Inputs!$B$9*Inputs!$B$8*INDEX(Inputs!$C$38:$C$44,B47)*Inputs!$B$4^7)</f>
        <v/>
      </c>
      <c r="G47" s="23">
        <f>IF(C47=1,F47/Inputs!$B$4,F46)</f>
        <v/>
      </c>
      <c r="H47" s="23">
        <f>IF(C47=1,G47,Inputs!$B$7*F46)</f>
        <v/>
      </c>
      <c r="I47" s="24">
        <f>H47/D47/3600</f>
        <v/>
      </c>
      <c r="J47" s="24">
        <f>(F47-G47)/(Inputs!$B$6*D47)/3600</f>
        <v/>
      </c>
      <c r="K47" s="24">
        <f>I47+J47</f>
        <v/>
      </c>
      <c r="L47" s="22">
        <f>L46+K47</f>
        <v/>
      </c>
      <c r="M47" s="25">
        <f>L47/(Inputs!$B$10*Inputs!$B$12)</f>
        <v/>
      </c>
      <c r="N47" s="21">
        <f>(L47-K47)/(Inputs!$B$10*Inputs!$B$12)</f>
        <v/>
      </c>
    </row>
    <row r="48">
      <c r="A48" s="19">
        <f>Inputs!$B$42&amp;" 9"</f>
        <v/>
      </c>
      <c r="B48" s="7" t="n">
        <v>5</v>
      </c>
      <c r="C48" s="7" t="n">
        <v>9</v>
      </c>
      <c r="D48" s="22">
        <f>Inputs!$B$16^(B48-1)*Inputs!$B$5^(C48-1)*INDEX(Inputs!$D$38:$D$44,B48)</f>
        <v/>
      </c>
      <c r="E48" s="23">
        <f>INDEX(Inputs!$C$38:$C$44,B48)*Inputs!$B$4^(C48-1)</f>
        <v/>
      </c>
      <c r="F48" s="23">
        <f>IF(C48&lt;9,Inputs!$B$8*E48,Inputs!$B$9*Inputs!$B$8*INDEX(Inputs!$C$38:$C$44,B48)*Inputs!$B$4^7)</f>
        <v/>
      </c>
      <c r="G48" s="23">
        <f>IF(C48=1,F48/Inputs!$B$4,F47)</f>
        <v/>
      </c>
      <c r="H48" s="23">
        <f>IF(C48=1,G48,Inputs!$B$7*F47)</f>
        <v/>
      </c>
      <c r="I48" s="24">
        <f>H48/D48/3600</f>
        <v/>
      </c>
      <c r="J48" s="24">
        <f>(F48-G48)/(Inputs!$B$6*D48)/3600</f>
        <v/>
      </c>
      <c r="K48" s="24">
        <f>I48+J48</f>
        <v/>
      </c>
      <c r="L48" s="22">
        <f>L47+K48</f>
        <v/>
      </c>
      <c r="M48" s="25">
        <f>L48/(Inputs!$B$10*Inputs!$B$12)</f>
        <v/>
      </c>
      <c r="N48" s="21">
        <f>(L48-K48)/(Inputs!$B$10*Inputs!$B$12)</f>
        <v/>
      </c>
    </row>
    <row r="49">
      <c r="A49" s="19">
        <f>Inputs!$B$43&amp;" 1"</f>
        <v/>
      </c>
      <c r="B49" s="7" t="n">
        <v>6</v>
      </c>
      <c r="C49" s="7" t="n">
        <v>1</v>
      </c>
      <c r="D49" s="22">
        <f>Inputs!$B$16^(B49-1)*Inputs!$B$5^(C49-1)*INDEX(Inputs!$D$38:$D$44,B49)</f>
        <v/>
      </c>
      <c r="E49" s="23">
        <f>INDEX(Inputs!$C$38:$C$44,B49)*Inputs!$B$4^(C49-1)</f>
        <v/>
      </c>
      <c r="F49" s="23">
        <f>IF(C49&lt;9,Inputs!$B$8*E49,Inputs!$B$9*Inputs!$B$8*INDEX(Inputs!$C$38:$C$44,B49)*Inputs!$B$4^7)</f>
        <v/>
      </c>
      <c r="G49" s="23">
        <f>IF(C49=1,F49/Inputs!$B$4,F48)</f>
        <v/>
      </c>
      <c r="H49" s="23">
        <f>IF(C49=1,G49,Inputs!$B$7*F48)</f>
        <v/>
      </c>
      <c r="I49" s="24">
        <f>H49/D49/3600</f>
        <v/>
      </c>
      <c r="J49" s="24">
        <f>(F49-G49)/(Inputs!$B$6*D49)/3600</f>
        <v/>
      </c>
      <c r="K49" s="24">
        <f>I49+J49</f>
        <v/>
      </c>
      <c r="L49" s="22">
        <f>L48+K49</f>
        <v/>
      </c>
      <c r="M49" s="25">
        <f>L49/(Inputs!$B$10*Inputs!$B$12)</f>
        <v/>
      </c>
      <c r="N49" s="21">
        <f>(L49-K49)/(Inputs!$B$10*Inputs!$B$12)</f>
        <v/>
      </c>
    </row>
    <row r="50">
      <c r="A50" s="19">
        <f>Inputs!$B$43&amp;" 2"</f>
        <v/>
      </c>
      <c r="B50" s="7" t="n">
        <v>6</v>
      </c>
      <c r="C50" s="7" t="n">
        <v>2</v>
      </c>
      <c r="D50" s="22">
        <f>Inputs!$B$16^(B50-1)*Inputs!$B$5^(C50-1)*INDEX(Inputs!$D$38:$D$44,B50)</f>
        <v/>
      </c>
      <c r="E50" s="23">
        <f>INDEX(Inputs!$C$38:$C$44,B50)*Inputs!$B$4^(C50-1)</f>
        <v/>
      </c>
      <c r="F50" s="23">
        <f>IF(C50&lt;9,Inputs!$B$8*E50,Inputs!$B$9*Inputs!$B$8*INDEX(Inputs!$C$38:$C$44,B50)*Inputs!$B$4^7)</f>
        <v/>
      </c>
      <c r="G50" s="23">
        <f>IF(C50=1,F50/Inputs!$B$4,F49)</f>
        <v/>
      </c>
      <c r="H50" s="23">
        <f>IF(C50=1,G50,Inputs!$B$7*F49)</f>
        <v/>
      </c>
      <c r="I50" s="24">
        <f>H50/D50/3600</f>
        <v/>
      </c>
      <c r="J50" s="24">
        <f>(F50-G50)/(Inputs!$B$6*D50)/3600</f>
        <v/>
      </c>
      <c r="K50" s="24">
        <f>I50+J50</f>
        <v/>
      </c>
      <c r="L50" s="22">
        <f>L49+K50</f>
        <v/>
      </c>
      <c r="M50" s="25">
        <f>L50/(Inputs!$B$10*Inputs!$B$12)</f>
        <v/>
      </c>
      <c r="N50" s="21">
        <f>(L50-K50)/(Inputs!$B$10*Inputs!$B$12)</f>
        <v/>
      </c>
    </row>
    <row r="51">
      <c r="A51" s="19">
        <f>Inputs!$B$43&amp;" 3"</f>
        <v/>
      </c>
      <c r="B51" s="7" t="n">
        <v>6</v>
      </c>
      <c r="C51" s="7" t="n">
        <v>3</v>
      </c>
      <c r="D51" s="22">
        <f>Inputs!$B$16^(B51-1)*Inputs!$B$5^(C51-1)*INDEX(Inputs!$D$38:$D$44,B51)</f>
        <v/>
      </c>
      <c r="E51" s="23">
        <f>INDEX(Inputs!$C$38:$C$44,B51)*Inputs!$B$4^(C51-1)</f>
        <v/>
      </c>
      <c r="F51" s="23">
        <f>IF(C51&lt;9,Inputs!$B$8*E51,Inputs!$B$9*Inputs!$B$8*INDEX(Inputs!$C$38:$C$44,B51)*Inputs!$B$4^7)</f>
        <v/>
      </c>
      <c r="G51" s="23">
        <f>IF(C51=1,F51/Inputs!$B$4,F50)</f>
        <v/>
      </c>
      <c r="H51" s="23">
        <f>IF(C51=1,G51,Inputs!$B$7*F50)</f>
        <v/>
      </c>
      <c r="I51" s="24">
        <f>H51/D51/3600</f>
        <v/>
      </c>
      <c r="J51" s="24">
        <f>(F51-G51)/(Inputs!$B$6*D51)/3600</f>
        <v/>
      </c>
      <c r="K51" s="24">
        <f>I51+J51</f>
        <v/>
      </c>
      <c r="L51" s="22">
        <f>L50+K51</f>
        <v/>
      </c>
      <c r="M51" s="25">
        <f>L51/(Inputs!$B$10*Inputs!$B$12)</f>
        <v/>
      </c>
      <c r="N51" s="21">
        <f>(L51-K51)/(Inputs!$B$10*Inputs!$B$12)</f>
        <v/>
      </c>
    </row>
    <row r="52">
      <c r="A52" s="19">
        <f>Inputs!$B$43&amp;" 4"</f>
        <v/>
      </c>
      <c r="B52" s="7" t="n">
        <v>6</v>
      </c>
      <c r="C52" s="7" t="n">
        <v>4</v>
      </c>
      <c r="D52" s="22">
        <f>Inputs!$B$16^(B52-1)*Inputs!$B$5^(C52-1)*INDEX(Inputs!$D$38:$D$44,B52)</f>
        <v/>
      </c>
      <c r="E52" s="23">
        <f>INDEX(Inputs!$C$38:$C$44,B52)*Inputs!$B$4^(C52-1)</f>
        <v/>
      </c>
      <c r="F52" s="23">
        <f>IF(C52&lt;9,Inputs!$B$8*E52,Inputs!$B$9*Inputs!$B$8*INDEX(Inputs!$C$38:$C$44,B52)*Inputs!$B$4^7)</f>
        <v/>
      </c>
      <c r="G52" s="23">
        <f>IF(C52=1,F52/Inputs!$B$4,F51)</f>
        <v/>
      </c>
      <c r="H52" s="23">
        <f>IF(C52=1,G52,Inputs!$B$7*F51)</f>
        <v/>
      </c>
      <c r="I52" s="24">
        <f>H52/D52/3600</f>
        <v/>
      </c>
      <c r="J52" s="24">
        <f>(F52-G52)/(Inputs!$B$6*D52)/3600</f>
        <v/>
      </c>
      <c r="K52" s="24">
        <f>I52+J52</f>
        <v/>
      </c>
      <c r="L52" s="22">
        <f>L51+K52</f>
        <v/>
      </c>
      <c r="M52" s="25">
        <f>L52/(Inputs!$B$10*Inputs!$B$12)</f>
        <v/>
      </c>
      <c r="N52" s="21">
        <f>(L52-K52)/(Inputs!$B$10*Inputs!$B$12)</f>
        <v/>
      </c>
    </row>
    <row r="53">
      <c r="A53" s="19">
        <f>Inputs!$B$43&amp;" 5"</f>
        <v/>
      </c>
      <c r="B53" s="7" t="n">
        <v>6</v>
      </c>
      <c r="C53" s="7" t="n">
        <v>5</v>
      </c>
      <c r="D53" s="22">
        <f>Inputs!$B$16^(B53-1)*Inputs!$B$5^(C53-1)*INDEX(Inputs!$D$38:$D$44,B53)</f>
        <v/>
      </c>
      <c r="E53" s="23">
        <f>INDEX(Inputs!$C$38:$C$44,B53)*Inputs!$B$4^(C53-1)</f>
        <v/>
      </c>
      <c r="F53" s="23">
        <f>IF(C53&lt;9,Inputs!$B$8*E53,Inputs!$B$9*Inputs!$B$8*INDEX(Inputs!$C$38:$C$44,B53)*Inputs!$B$4^7)</f>
        <v/>
      </c>
      <c r="G53" s="23">
        <f>IF(C53=1,F53/Inputs!$B$4,F52)</f>
        <v/>
      </c>
      <c r="H53" s="23">
        <f>IF(C53=1,G53,Inputs!$B$7*F52)</f>
        <v/>
      </c>
      <c r="I53" s="24">
        <f>H53/D53/3600</f>
        <v/>
      </c>
      <c r="J53" s="24">
        <f>(F53-G53)/(Inputs!$B$6*D53)/3600</f>
        <v/>
      </c>
      <c r="K53" s="24">
        <f>I53+J53</f>
        <v/>
      </c>
      <c r="L53" s="22">
        <f>L52+K53</f>
        <v/>
      </c>
      <c r="M53" s="25">
        <f>L53/(Inputs!$B$10*Inputs!$B$12)</f>
        <v/>
      </c>
      <c r="N53" s="21">
        <f>(L53-K53)/(Inputs!$B$10*Inputs!$B$12)</f>
        <v/>
      </c>
    </row>
    <row r="54">
      <c r="A54" s="19">
        <f>Inputs!$B$43&amp;" 6"</f>
        <v/>
      </c>
      <c r="B54" s="7" t="n">
        <v>6</v>
      </c>
      <c r="C54" s="7" t="n">
        <v>6</v>
      </c>
      <c r="D54" s="22">
        <f>Inputs!$B$16^(B54-1)*Inputs!$B$5^(C54-1)*INDEX(Inputs!$D$38:$D$44,B54)</f>
        <v/>
      </c>
      <c r="E54" s="23">
        <f>INDEX(Inputs!$C$38:$C$44,B54)*Inputs!$B$4^(C54-1)</f>
        <v/>
      </c>
      <c r="F54" s="23">
        <f>IF(C54&lt;9,Inputs!$B$8*E54,Inputs!$B$9*Inputs!$B$8*INDEX(Inputs!$C$38:$C$44,B54)*Inputs!$B$4^7)</f>
        <v/>
      </c>
      <c r="G54" s="23">
        <f>IF(C54=1,F54/Inputs!$B$4,F53)</f>
        <v/>
      </c>
      <c r="H54" s="23">
        <f>IF(C54=1,G54,Inputs!$B$7*F53)</f>
        <v/>
      </c>
      <c r="I54" s="24">
        <f>H54/D54/3600</f>
        <v/>
      </c>
      <c r="J54" s="24">
        <f>(F54-G54)/(Inputs!$B$6*D54)/3600</f>
        <v/>
      </c>
      <c r="K54" s="24">
        <f>I54+J54</f>
        <v/>
      </c>
      <c r="L54" s="22">
        <f>L53+K54</f>
        <v/>
      </c>
      <c r="M54" s="25">
        <f>L54/(Inputs!$B$10*Inputs!$B$12)</f>
        <v/>
      </c>
      <c r="N54" s="21">
        <f>(L54-K54)/(Inputs!$B$10*Inputs!$B$12)</f>
        <v/>
      </c>
    </row>
    <row r="55">
      <c r="A55" s="19">
        <f>Inputs!$B$43&amp;" 7"</f>
        <v/>
      </c>
      <c r="B55" s="7" t="n">
        <v>6</v>
      </c>
      <c r="C55" s="7" t="n">
        <v>7</v>
      </c>
      <c r="D55" s="22">
        <f>Inputs!$B$16^(B55-1)*Inputs!$B$5^(C55-1)*INDEX(Inputs!$D$38:$D$44,B55)</f>
        <v/>
      </c>
      <c r="E55" s="23">
        <f>INDEX(Inputs!$C$38:$C$44,B55)*Inputs!$B$4^(C55-1)</f>
        <v/>
      </c>
      <c r="F55" s="23">
        <f>IF(C55&lt;9,Inputs!$B$8*E55,Inputs!$B$9*Inputs!$B$8*INDEX(Inputs!$C$38:$C$44,B55)*Inputs!$B$4^7)</f>
        <v/>
      </c>
      <c r="G55" s="23">
        <f>IF(C55=1,F55/Inputs!$B$4,F54)</f>
        <v/>
      </c>
      <c r="H55" s="23">
        <f>IF(C55=1,G55,Inputs!$B$7*F54)</f>
        <v/>
      </c>
      <c r="I55" s="24">
        <f>H55/D55/3600</f>
        <v/>
      </c>
      <c r="J55" s="24">
        <f>(F55-G55)/(Inputs!$B$6*D55)/3600</f>
        <v/>
      </c>
      <c r="K55" s="24">
        <f>I55+J55</f>
        <v/>
      </c>
      <c r="L55" s="22">
        <f>L54+K55</f>
        <v/>
      </c>
      <c r="M55" s="25">
        <f>L55/(Inputs!$B$10*Inputs!$B$12)</f>
        <v/>
      </c>
      <c r="N55" s="21">
        <f>(L55-K55)/(Inputs!$B$10*Inputs!$B$12)</f>
        <v/>
      </c>
    </row>
    <row r="56">
      <c r="A56" s="19">
        <f>Inputs!$B$43&amp;" 8"</f>
        <v/>
      </c>
      <c r="B56" s="7" t="n">
        <v>6</v>
      </c>
      <c r="C56" s="7" t="n">
        <v>8</v>
      </c>
      <c r="D56" s="22">
        <f>Inputs!$B$16^(B56-1)*Inputs!$B$5^(C56-1)*INDEX(Inputs!$D$38:$D$44,B56)</f>
        <v/>
      </c>
      <c r="E56" s="23">
        <f>INDEX(Inputs!$C$38:$C$44,B56)*Inputs!$B$4^(C56-1)</f>
        <v/>
      </c>
      <c r="F56" s="23">
        <f>IF(C56&lt;9,Inputs!$B$8*E56,Inputs!$B$9*Inputs!$B$8*INDEX(Inputs!$C$38:$C$44,B56)*Inputs!$B$4^7)</f>
        <v/>
      </c>
      <c r="G56" s="23">
        <f>IF(C56=1,F56/Inputs!$B$4,F55)</f>
        <v/>
      </c>
      <c r="H56" s="23">
        <f>IF(C56=1,G56,Inputs!$B$7*F55)</f>
        <v/>
      </c>
      <c r="I56" s="24">
        <f>H56/D56/3600</f>
        <v/>
      </c>
      <c r="J56" s="24">
        <f>(F56-G56)/(Inputs!$B$6*D56)/3600</f>
        <v/>
      </c>
      <c r="K56" s="24">
        <f>I56+J56</f>
        <v/>
      </c>
      <c r="L56" s="22">
        <f>L55+K56</f>
        <v/>
      </c>
      <c r="M56" s="25">
        <f>L56/(Inputs!$B$10*Inputs!$B$12)</f>
        <v/>
      </c>
      <c r="N56" s="21">
        <f>(L56-K56)/(Inputs!$B$10*Inputs!$B$12)</f>
        <v/>
      </c>
    </row>
    <row r="57">
      <c r="A57" s="19">
        <f>Inputs!$B$43&amp;" 9"</f>
        <v/>
      </c>
      <c r="B57" s="7" t="n">
        <v>6</v>
      </c>
      <c r="C57" s="7" t="n">
        <v>9</v>
      </c>
      <c r="D57" s="22">
        <f>Inputs!$B$16^(B57-1)*Inputs!$B$5^(C57-1)*INDEX(Inputs!$D$38:$D$44,B57)</f>
        <v/>
      </c>
      <c r="E57" s="23">
        <f>INDEX(Inputs!$C$38:$C$44,B57)*Inputs!$B$4^(C57-1)</f>
        <v/>
      </c>
      <c r="F57" s="23">
        <f>IF(C57&lt;9,Inputs!$B$8*E57,Inputs!$B$9*Inputs!$B$8*INDEX(Inputs!$C$38:$C$44,B57)*Inputs!$B$4^7)</f>
        <v/>
      </c>
      <c r="G57" s="23">
        <f>IF(C57=1,F57/Inputs!$B$4,F56)</f>
        <v/>
      </c>
      <c r="H57" s="23">
        <f>IF(C57=1,G57,Inputs!$B$7*F56)</f>
        <v/>
      </c>
      <c r="I57" s="24">
        <f>H57/D57/3600</f>
        <v/>
      </c>
      <c r="J57" s="24">
        <f>(F57-G57)/(Inputs!$B$6*D57)/3600</f>
        <v/>
      </c>
      <c r="K57" s="24">
        <f>I57+J57</f>
        <v/>
      </c>
      <c r="L57" s="22">
        <f>L56+K57</f>
        <v/>
      </c>
      <c r="M57" s="25">
        <f>L57/(Inputs!$B$10*Inputs!$B$12)</f>
        <v/>
      </c>
      <c r="N57" s="21">
        <f>(L57-K57)/(Inputs!$B$10*Inputs!$B$12)</f>
        <v/>
      </c>
    </row>
    <row r="58">
      <c r="A58" s="19">
        <f>Inputs!$B$44&amp;" 1"</f>
        <v/>
      </c>
      <c r="B58" s="7" t="n">
        <v>7</v>
      </c>
      <c r="C58" s="7" t="n">
        <v>1</v>
      </c>
      <c r="D58" s="22">
        <f>Inputs!$B$16^(B58-1)*Inputs!$B$5^(C58-1)*INDEX(Inputs!$D$38:$D$44,B58)</f>
        <v/>
      </c>
      <c r="E58" s="23">
        <f>INDEX(Inputs!$C$38:$C$44,B58)*Inputs!$B$4^(C58-1)</f>
        <v/>
      </c>
      <c r="F58" s="23">
        <f>IF(C58&lt;9,Inputs!$B$8*E58,Inputs!$B$9*Inputs!$B$8*INDEX(Inputs!$C$38:$C$44,B58)*Inputs!$B$4^7)</f>
        <v/>
      </c>
      <c r="G58" s="23">
        <f>IF(C58=1,F58/Inputs!$B$4,F57)</f>
        <v/>
      </c>
      <c r="H58" s="23">
        <f>IF(C58=1,G58,Inputs!$B$7*F57)</f>
        <v/>
      </c>
      <c r="I58" s="24">
        <f>H58/D58/3600</f>
        <v/>
      </c>
      <c r="J58" s="24">
        <f>(F58-G58)/(Inputs!$B$6*D58)/3600</f>
        <v/>
      </c>
      <c r="K58" s="24">
        <f>I58+J58</f>
        <v/>
      </c>
      <c r="L58" s="22">
        <f>L57+K58</f>
        <v/>
      </c>
      <c r="M58" s="25">
        <f>L58/(Inputs!$B$10*Inputs!$B$12)</f>
        <v/>
      </c>
      <c r="N58" s="21">
        <f>(L58-K58)/(Inputs!$B$10*Inputs!$B$12)</f>
        <v/>
      </c>
    </row>
    <row r="59">
      <c r="A59" s="19">
        <f>Inputs!$B$44&amp;" 2"</f>
        <v/>
      </c>
      <c r="B59" s="7" t="n">
        <v>7</v>
      </c>
      <c r="C59" s="7" t="n">
        <v>2</v>
      </c>
      <c r="D59" s="22">
        <f>Inputs!$B$16^(B59-1)*Inputs!$B$5^(C59-1)*INDEX(Inputs!$D$38:$D$44,B59)</f>
        <v/>
      </c>
      <c r="E59" s="23">
        <f>INDEX(Inputs!$C$38:$C$44,B59)*Inputs!$B$4^(C59-1)</f>
        <v/>
      </c>
      <c r="F59" s="23">
        <f>IF(C59&lt;9,Inputs!$B$8*E59,Inputs!$B$9*Inputs!$B$8*INDEX(Inputs!$C$38:$C$44,B59)*Inputs!$B$4^7)</f>
        <v/>
      </c>
      <c r="G59" s="23">
        <f>IF(C59=1,F59/Inputs!$B$4,F58)</f>
        <v/>
      </c>
      <c r="H59" s="23">
        <f>IF(C59=1,G59,Inputs!$B$7*F58)</f>
        <v/>
      </c>
      <c r="I59" s="24">
        <f>H59/D59/3600</f>
        <v/>
      </c>
      <c r="J59" s="24">
        <f>(F59-G59)/(Inputs!$B$6*D59)/3600</f>
        <v/>
      </c>
      <c r="K59" s="24">
        <f>I59+J59</f>
        <v/>
      </c>
      <c r="L59" s="22">
        <f>L58+K59</f>
        <v/>
      </c>
      <c r="M59" s="25">
        <f>L59/(Inputs!$B$10*Inputs!$B$12)</f>
        <v/>
      </c>
      <c r="N59" s="21">
        <f>(L59-K59)/(Inputs!$B$10*Inputs!$B$12)</f>
        <v/>
      </c>
    </row>
    <row r="60">
      <c r="A60" s="19">
        <f>Inputs!$B$44&amp;" 3"</f>
        <v/>
      </c>
      <c r="B60" s="7" t="n">
        <v>7</v>
      </c>
      <c r="C60" s="7" t="n">
        <v>3</v>
      </c>
      <c r="D60" s="22">
        <f>Inputs!$B$16^(B60-1)*Inputs!$B$5^(C60-1)*INDEX(Inputs!$D$38:$D$44,B60)</f>
        <v/>
      </c>
      <c r="E60" s="23">
        <f>INDEX(Inputs!$C$38:$C$44,B60)*Inputs!$B$4^(C60-1)</f>
        <v/>
      </c>
      <c r="F60" s="23">
        <f>IF(C60&lt;9,Inputs!$B$8*E60,Inputs!$B$9*Inputs!$B$8*INDEX(Inputs!$C$38:$C$44,B60)*Inputs!$B$4^7)</f>
        <v/>
      </c>
      <c r="G60" s="23">
        <f>IF(C60=1,F60/Inputs!$B$4,F59)</f>
        <v/>
      </c>
      <c r="H60" s="23">
        <f>IF(C60=1,G60,Inputs!$B$7*F59)</f>
        <v/>
      </c>
      <c r="I60" s="24">
        <f>H60/D60/3600</f>
        <v/>
      </c>
      <c r="J60" s="24">
        <f>(F60-G60)/(Inputs!$B$6*D60)/3600</f>
        <v/>
      </c>
      <c r="K60" s="24">
        <f>I60+J60</f>
        <v/>
      </c>
      <c r="L60" s="22">
        <f>L59+K60</f>
        <v/>
      </c>
      <c r="M60" s="25">
        <f>L60/(Inputs!$B$10*Inputs!$B$12)</f>
        <v/>
      </c>
      <c r="N60" s="21">
        <f>(L60-K60)/(Inputs!$B$10*Inputs!$B$12)</f>
        <v/>
      </c>
    </row>
    <row r="61">
      <c r="A61" s="19">
        <f>Inputs!$B$44&amp;" 4"</f>
        <v/>
      </c>
      <c r="B61" s="7" t="n">
        <v>7</v>
      </c>
      <c r="C61" s="7" t="n">
        <v>4</v>
      </c>
      <c r="D61" s="22">
        <f>Inputs!$B$16^(B61-1)*Inputs!$B$5^(C61-1)*INDEX(Inputs!$D$38:$D$44,B61)</f>
        <v/>
      </c>
      <c r="E61" s="23">
        <f>INDEX(Inputs!$C$38:$C$44,B61)*Inputs!$B$4^(C61-1)</f>
        <v/>
      </c>
      <c r="F61" s="23">
        <f>IF(C61&lt;9,Inputs!$B$8*E61,Inputs!$B$9*Inputs!$B$8*INDEX(Inputs!$C$38:$C$44,B61)*Inputs!$B$4^7)</f>
        <v/>
      </c>
      <c r="G61" s="23">
        <f>IF(C61=1,F61/Inputs!$B$4,F60)</f>
        <v/>
      </c>
      <c r="H61" s="23">
        <f>IF(C61=1,G61,Inputs!$B$7*F60)</f>
        <v/>
      </c>
      <c r="I61" s="24">
        <f>H61/D61/3600</f>
        <v/>
      </c>
      <c r="J61" s="24">
        <f>(F61-G61)/(Inputs!$B$6*D61)/3600</f>
        <v/>
      </c>
      <c r="K61" s="24">
        <f>I61+J61</f>
        <v/>
      </c>
      <c r="L61" s="22">
        <f>L60+K61</f>
        <v/>
      </c>
      <c r="M61" s="25">
        <f>L61/(Inputs!$B$10*Inputs!$B$12)</f>
        <v/>
      </c>
      <c r="N61" s="21">
        <f>(L61-K61)/(Inputs!$B$10*Inputs!$B$12)</f>
        <v/>
      </c>
    </row>
    <row r="62">
      <c r="A62" s="19">
        <f>Inputs!$B$44&amp;" 5"</f>
        <v/>
      </c>
      <c r="B62" s="7" t="n">
        <v>7</v>
      </c>
      <c r="C62" s="7" t="n">
        <v>5</v>
      </c>
      <c r="D62" s="22">
        <f>Inputs!$B$16^(B62-1)*Inputs!$B$5^(C62-1)*INDEX(Inputs!$D$38:$D$44,B62)</f>
        <v/>
      </c>
      <c r="E62" s="23">
        <f>INDEX(Inputs!$C$38:$C$44,B62)*Inputs!$B$4^(C62-1)</f>
        <v/>
      </c>
      <c r="F62" s="23">
        <f>IF(C62&lt;9,Inputs!$B$8*E62,Inputs!$B$9*Inputs!$B$8*INDEX(Inputs!$C$38:$C$44,B62)*Inputs!$B$4^7)</f>
        <v/>
      </c>
      <c r="G62" s="23">
        <f>IF(C62=1,F62/Inputs!$B$4,F61)</f>
        <v/>
      </c>
      <c r="H62" s="23">
        <f>IF(C62=1,G62,Inputs!$B$7*F61)</f>
        <v/>
      </c>
      <c r="I62" s="24">
        <f>H62/D62/3600</f>
        <v/>
      </c>
      <c r="J62" s="24">
        <f>(F62-G62)/(Inputs!$B$6*D62)/3600</f>
        <v/>
      </c>
      <c r="K62" s="24">
        <f>I62+J62</f>
        <v/>
      </c>
      <c r="L62" s="22">
        <f>L61+K62</f>
        <v/>
      </c>
      <c r="M62" s="25">
        <f>L62/(Inputs!$B$10*Inputs!$B$12)</f>
        <v/>
      </c>
      <c r="N62" s="21">
        <f>(L62-K62)/(Inputs!$B$10*Inputs!$B$12)</f>
        <v/>
      </c>
    </row>
    <row r="63">
      <c r="A63" s="19">
        <f>Inputs!$B$44&amp;" 6"</f>
        <v/>
      </c>
      <c r="B63" s="7" t="n">
        <v>7</v>
      </c>
      <c r="C63" s="7" t="n">
        <v>6</v>
      </c>
      <c r="D63" s="22">
        <f>Inputs!$B$16^(B63-1)*Inputs!$B$5^(C63-1)*INDEX(Inputs!$D$38:$D$44,B63)</f>
        <v/>
      </c>
      <c r="E63" s="23">
        <f>INDEX(Inputs!$C$38:$C$44,B63)*Inputs!$B$4^(C63-1)</f>
        <v/>
      </c>
      <c r="F63" s="23">
        <f>IF(C63&lt;9,Inputs!$B$8*E63,Inputs!$B$9*Inputs!$B$8*INDEX(Inputs!$C$38:$C$44,B63)*Inputs!$B$4^7)</f>
        <v/>
      </c>
      <c r="G63" s="23">
        <f>IF(C63=1,F63/Inputs!$B$4,F62)</f>
        <v/>
      </c>
      <c r="H63" s="23">
        <f>IF(C63=1,G63,Inputs!$B$7*F62)</f>
        <v/>
      </c>
      <c r="I63" s="24">
        <f>H63/D63/3600</f>
        <v/>
      </c>
      <c r="J63" s="24">
        <f>(F63-G63)/(Inputs!$B$6*D63)/3600</f>
        <v/>
      </c>
      <c r="K63" s="24">
        <f>I63+J63</f>
        <v/>
      </c>
      <c r="L63" s="22">
        <f>L62+K63</f>
        <v/>
      </c>
      <c r="M63" s="25">
        <f>L63/(Inputs!$B$10*Inputs!$B$12)</f>
        <v/>
      </c>
      <c r="N63" s="21">
        <f>(L63-K63)/(Inputs!$B$10*Inputs!$B$12)</f>
        <v/>
      </c>
    </row>
    <row r="64">
      <c r="A64" s="19">
        <f>Inputs!$B$44&amp;" 7"</f>
        <v/>
      </c>
      <c r="B64" s="7" t="n">
        <v>7</v>
      </c>
      <c r="C64" s="7" t="n">
        <v>7</v>
      </c>
      <c r="D64" s="22">
        <f>Inputs!$B$16^(B64-1)*Inputs!$B$5^(C64-1)*INDEX(Inputs!$D$38:$D$44,B64)</f>
        <v/>
      </c>
      <c r="E64" s="23">
        <f>INDEX(Inputs!$C$38:$C$44,B64)*Inputs!$B$4^(C64-1)</f>
        <v/>
      </c>
      <c r="F64" s="23">
        <f>IF(C64&lt;9,Inputs!$B$8*E64,Inputs!$B$9*Inputs!$B$8*INDEX(Inputs!$C$38:$C$44,B64)*Inputs!$B$4^7)</f>
        <v/>
      </c>
      <c r="G64" s="23">
        <f>IF(C64=1,F64/Inputs!$B$4,F63)</f>
        <v/>
      </c>
      <c r="H64" s="23">
        <f>IF(C64=1,G64,Inputs!$B$7*F63)</f>
        <v/>
      </c>
      <c r="I64" s="24">
        <f>H64/D64/3600</f>
        <v/>
      </c>
      <c r="J64" s="24">
        <f>(F64-G64)/(Inputs!$B$6*D64)/3600</f>
        <v/>
      </c>
      <c r="K64" s="24">
        <f>I64+J64</f>
        <v/>
      </c>
      <c r="L64" s="22">
        <f>L63+K64</f>
        <v/>
      </c>
      <c r="M64" s="25">
        <f>L64/(Inputs!$B$10*Inputs!$B$12)</f>
        <v/>
      </c>
      <c r="N64" s="21">
        <f>(L64-K64)/(Inputs!$B$10*Inputs!$B$12)</f>
        <v/>
      </c>
    </row>
    <row r="65">
      <c r="A65" s="19">
        <f>Inputs!$B$44&amp;" 8"</f>
        <v/>
      </c>
      <c r="B65" s="7" t="n">
        <v>7</v>
      </c>
      <c r="C65" s="7" t="n">
        <v>8</v>
      </c>
      <c r="D65" s="22">
        <f>Inputs!$B$16^(B65-1)*Inputs!$B$5^(C65-1)*INDEX(Inputs!$D$38:$D$44,B65)</f>
        <v/>
      </c>
      <c r="E65" s="23">
        <f>INDEX(Inputs!$C$38:$C$44,B65)*Inputs!$B$4^(C65-1)</f>
        <v/>
      </c>
      <c r="F65" s="23">
        <f>IF(C65&lt;9,Inputs!$B$8*E65,Inputs!$B$9*Inputs!$B$8*INDEX(Inputs!$C$38:$C$44,B65)*Inputs!$B$4^7)</f>
        <v/>
      </c>
      <c r="G65" s="23">
        <f>IF(C65=1,F65/Inputs!$B$4,F64)</f>
        <v/>
      </c>
      <c r="H65" s="23">
        <f>IF(C65=1,G65,Inputs!$B$7*F64)</f>
        <v/>
      </c>
      <c r="I65" s="24">
        <f>H65/D65/3600</f>
        <v/>
      </c>
      <c r="J65" s="24">
        <f>(F65-G65)/(Inputs!$B$6*D65)/3600</f>
        <v/>
      </c>
      <c r="K65" s="24">
        <f>I65+J65</f>
        <v/>
      </c>
      <c r="L65" s="22">
        <f>L64+K65</f>
        <v/>
      </c>
      <c r="M65" s="25">
        <f>L65/(Inputs!$B$10*Inputs!$B$12)</f>
        <v/>
      </c>
      <c r="N65" s="21">
        <f>(L65-K65)/(Inputs!$B$10*Inputs!$B$12)</f>
        <v/>
      </c>
    </row>
    <row r="66">
      <c r="A66" s="19">
        <f>Inputs!$B$44&amp;" 9"</f>
        <v/>
      </c>
      <c r="B66" s="7" t="n">
        <v>7</v>
      </c>
      <c r="C66" s="7" t="n">
        <v>9</v>
      </c>
      <c r="D66" s="22">
        <f>Inputs!$B$16^(B66-1)*Inputs!$B$5^(C66-1)*INDEX(Inputs!$D$38:$D$44,B66)</f>
        <v/>
      </c>
      <c r="E66" s="23">
        <f>INDEX(Inputs!$C$38:$C$44,B66)*Inputs!$B$4^(C66-1)</f>
        <v/>
      </c>
      <c r="F66" s="23">
        <f>IF(C66&lt;9,Inputs!$B$8*E66,Inputs!$B$9*Inputs!$B$8*INDEX(Inputs!$C$38:$C$44,B66)*Inputs!$B$4^7)</f>
        <v/>
      </c>
      <c r="G66" s="23">
        <f>IF(C66=1,F66/Inputs!$B$4,F65)</f>
        <v/>
      </c>
      <c r="H66" s="23">
        <f>IF(C66=1,G66,Inputs!$B$7*F65)</f>
        <v/>
      </c>
      <c r="I66" s="24">
        <f>H66/D66/3600</f>
        <v/>
      </c>
      <c r="J66" s="24">
        <f>(F66-G66)/(Inputs!$B$6*D66)/3600</f>
        <v/>
      </c>
      <c r="K66" s="24">
        <f>I66+J66</f>
        <v/>
      </c>
      <c r="L66" s="22">
        <f>L65+K66</f>
        <v/>
      </c>
      <c r="M66" s="25">
        <f>L66/(Inputs!$B$10*Inputs!$B$12)</f>
        <v/>
      </c>
      <c r="N66" s="21">
        <f>(L66-K66)/(Inputs!$B$10*Inputs!$B$12)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10" customWidth="1" min="18" max="18"/>
    <col width="14" customWidth="1" min="19" max="19"/>
  </cols>
  <sheetData>
    <row r="1">
      <c r="A1" s="5" t="inlineStr">
        <is>
          <t>Rebirth: stacked gains, Karma, life planner</t>
        </is>
      </c>
    </row>
    <row r="2"/>
    <row r="3">
      <c r="A3" s="6" t="inlineStr">
        <is>
          <t>Qi realm gains (stacked)</t>
        </is>
      </c>
    </row>
    <row r="4">
      <c r="A4" s="15" t="inlineStr">
        <is>
          <t>Realm</t>
        </is>
      </c>
      <c r="B4" s="15" t="inlineStr">
        <is>
          <t>REALM_GAIN</t>
        </is>
      </c>
      <c r="C4" s="15" t="inlineStr">
        <is>
          <t>Cumulative before</t>
        </is>
      </c>
      <c r="D4" s="15" t="inlineStr">
        <is>
          <t>Gain at level 1</t>
        </is>
      </c>
      <c r="E4" s="15" t="inlineStr">
        <is>
          <t>Gain at peak</t>
        </is>
      </c>
      <c r="F4" s="15" t="inlineStr">
        <is>
          <t>Qi Karma (stacked)</t>
        </is>
      </c>
    </row>
    <row r="5">
      <c r="A5" s="19">
        <f>Inputs!C23</f>
        <v/>
      </c>
      <c r="B5" s="26">
        <f>Inputs!H23</f>
        <v/>
      </c>
      <c r="C5" s="21" t="n">
        <v>0</v>
      </c>
      <c r="D5" s="21">
        <f>IF(B5=0,0,C5+B5*(0.5+0.5*1/9))</f>
        <v/>
      </c>
      <c r="E5" s="21">
        <f>C5+B5</f>
        <v/>
      </c>
      <c r="F5" s="27">
        <f>Inputs!I23</f>
        <v/>
      </c>
    </row>
    <row r="6">
      <c r="A6" s="19">
        <f>Inputs!C24</f>
        <v/>
      </c>
      <c r="B6" s="26">
        <f>Inputs!H24</f>
        <v/>
      </c>
      <c r="C6" s="21">
        <f>C5+B5</f>
        <v/>
      </c>
      <c r="D6" s="21">
        <f>IF(B6=0,0,C6+B6*(0.5+0.5*1/9))</f>
        <v/>
      </c>
      <c r="E6" s="21">
        <f>C6+B6</f>
        <v/>
      </c>
      <c r="F6" s="27">
        <f>F5+Inputs!I24</f>
        <v/>
      </c>
    </row>
    <row r="7">
      <c r="A7" s="19">
        <f>Inputs!C25</f>
        <v/>
      </c>
      <c r="B7" s="26">
        <f>Inputs!H25</f>
        <v/>
      </c>
      <c r="C7" s="21">
        <f>C6+B6</f>
        <v/>
      </c>
      <c r="D7" s="21">
        <f>IF(B7=0,0,C7+B7*(0.5+0.5*1/9))</f>
        <v/>
      </c>
      <c r="E7" s="21">
        <f>C7+B7</f>
        <v/>
      </c>
      <c r="F7" s="27">
        <f>F6+Inputs!I25</f>
        <v/>
      </c>
    </row>
    <row r="8">
      <c r="A8" s="19">
        <f>Inputs!C26</f>
        <v/>
      </c>
      <c r="B8" s="26">
        <f>Inputs!H26</f>
        <v/>
      </c>
      <c r="C8" s="21">
        <f>C7+B7</f>
        <v/>
      </c>
      <c r="D8" s="21">
        <f>IF(B8=0,0,C8+B8*(0.5+0.5*1/9))</f>
        <v/>
      </c>
      <c r="E8" s="21">
        <f>C8+B8</f>
        <v/>
      </c>
      <c r="F8" s="27">
        <f>F7+Inputs!I26</f>
        <v/>
      </c>
    </row>
    <row r="9">
      <c r="A9" s="19">
        <f>Inputs!C27</f>
        <v/>
      </c>
      <c r="B9" s="26">
        <f>Inputs!H27</f>
        <v/>
      </c>
      <c r="C9" s="21">
        <f>C8+B8</f>
        <v/>
      </c>
      <c r="D9" s="21">
        <f>IF(B9=0,0,C9+B9*(0.5+0.5*1/9))</f>
        <v/>
      </c>
      <c r="E9" s="21">
        <f>C9+B9</f>
        <v/>
      </c>
      <c r="F9" s="27">
        <f>F8+Inputs!I27</f>
        <v/>
      </c>
    </row>
    <row r="10">
      <c r="A10" s="19">
        <f>Inputs!C28</f>
        <v/>
      </c>
      <c r="B10" s="26">
        <f>Inputs!H28</f>
        <v/>
      </c>
      <c r="C10" s="21">
        <f>C9+B9</f>
        <v/>
      </c>
      <c r="D10" s="21">
        <f>IF(B10=0,0,C10+B10*(0.5+0.5*1/9))</f>
        <v/>
      </c>
      <c r="E10" s="21">
        <f>C10+B10</f>
        <v/>
      </c>
      <c r="F10" s="27">
        <f>F9+Inputs!I28</f>
        <v/>
      </c>
    </row>
    <row r="11">
      <c r="A11" s="19">
        <f>Inputs!C29</f>
        <v/>
      </c>
      <c r="B11" s="26">
        <f>Inputs!H29</f>
        <v/>
      </c>
      <c r="C11" s="21">
        <f>C10+B10</f>
        <v/>
      </c>
      <c r="D11" s="21">
        <f>IF(B11=0,0,C11+B11*(0.5+0.5*1/9))</f>
        <v/>
      </c>
      <c r="E11" s="21">
        <f>C11+B11</f>
        <v/>
      </c>
      <c r="F11" s="27">
        <f>F10+Inputs!I29</f>
        <v/>
      </c>
    </row>
    <row r="12">
      <c r="A12" s="19">
        <f>Inputs!C30</f>
        <v/>
      </c>
      <c r="B12" s="26">
        <f>Inputs!H30</f>
        <v/>
      </c>
      <c r="C12" s="21">
        <f>C11+B11</f>
        <v/>
      </c>
      <c r="D12" s="21">
        <f>IF(B12=0,0,C12+B12*(0.5+0.5*1/9))</f>
        <v/>
      </c>
      <c r="E12" s="21">
        <f>C12+B12</f>
        <v/>
      </c>
      <c r="F12" s="27">
        <f>F11+Inputs!I30</f>
        <v/>
      </c>
    </row>
    <row r="13">
      <c r="A13" s="19">
        <f>Inputs!C31</f>
        <v/>
      </c>
      <c r="B13" s="26">
        <f>Inputs!H31</f>
        <v/>
      </c>
      <c r="C13" s="21">
        <f>C12+B12</f>
        <v/>
      </c>
      <c r="D13" s="21">
        <f>IF(B13=0,0,C13+B13*(0.5+0.5*1/9))</f>
        <v/>
      </c>
      <c r="E13" s="21">
        <f>C13+B13</f>
        <v/>
      </c>
      <c r="F13" s="27">
        <f>F12+Inputs!I31</f>
        <v/>
      </c>
    </row>
    <row r="14">
      <c r="A14" s="19">
        <f>Inputs!C32</f>
        <v/>
      </c>
      <c r="B14" s="26">
        <f>Inputs!H32</f>
        <v/>
      </c>
      <c r="C14" s="21">
        <f>C13+B13</f>
        <v/>
      </c>
      <c r="D14" s="21">
        <f>IF(B14=0,0,C14+B14*(0.5+0.5*1/9))</f>
        <v/>
      </c>
      <c r="E14" s="21">
        <f>C14+B14</f>
        <v/>
      </c>
      <c r="F14" s="27">
        <f>F13+Inputs!I32</f>
        <v/>
      </c>
    </row>
    <row r="15"/>
    <row r="16"/>
    <row r="17">
      <c r="A17" s="6" t="inlineStr">
        <is>
          <t>Body stage gains (stacked)</t>
        </is>
      </c>
    </row>
    <row r="18">
      <c r="A18" s="15" t="inlineStr">
        <is>
          <t>Stage</t>
        </is>
      </c>
      <c r="B18" s="15" t="inlineStr">
        <is>
          <t>STAGE_GAIN</t>
        </is>
      </c>
      <c r="C18" s="15" t="inlineStr">
        <is>
          <t>Cumulative before</t>
        </is>
      </c>
      <c r="D18" s="15" t="inlineStr">
        <is>
          <t>Gain at layer 1</t>
        </is>
      </c>
      <c r="E18" s="15" t="inlineStr">
        <is>
          <t>Gain at peak</t>
        </is>
      </c>
      <c r="F18" s="15" t="inlineStr">
        <is>
          <t>Body Karma (stacked)</t>
        </is>
      </c>
    </row>
    <row r="19">
      <c r="A19" s="19">
        <f>Inputs!B38</f>
        <v/>
      </c>
      <c r="B19" s="26">
        <f>Inputs!F38</f>
        <v/>
      </c>
      <c r="C19" s="21" t="n">
        <v>0</v>
      </c>
      <c r="D19" s="21">
        <f>IF(B19=0,0,C19+B19*(0.5+0.5*1/9))</f>
        <v/>
      </c>
      <c r="E19" s="21">
        <f>C19+B19</f>
        <v/>
      </c>
      <c r="F19" s="27">
        <f>Inputs!G38</f>
        <v/>
      </c>
    </row>
    <row r="20">
      <c r="A20" s="19">
        <f>Inputs!B39</f>
        <v/>
      </c>
      <c r="B20" s="26">
        <f>Inputs!F39</f>
        <v/>
      </c>
      <c r="C20" s="21">
        <f>C19+B19</f>
        <v/>
      </c>
      <c r="D20" s="21">
        <f>IF(B20=0,0,C20+B20*(0.5+0.5*1/9))</f>
        <v/>
      </c>
      <c r="E20" s="21">
        <f>C20+B20</f>
        <v/>
      </c>
      <c r="F20" s="27">
        <f>F19+Inputs!G39</f>
        <v/>
      </c>
    </row>
    <row r="21">
      <c r="A21" s="19">
        <f>Inputs!B40</f>
        <v/>
      </c>
      <c r="B21" s="26">
        <f>Inputs!F40</f>
        <v/>
      </c>
      <c r="C21" s="21">
        <f>C20+B20</f>
        <v/>
      </c>
      <c r="D21" s="21">
        <f>IF(B21=0,0,C21+B21*(0.5+0.5*1/9))</f>
        <v/>
      </c>
      <c r="E21" s="21">
        <f>C21+B21</f>
        <v/>
      </c>
      <c r="F21" s="27">
        <f>F20+Inputs!G40</f>
        <v/>
      </c>
    </row>
    <row r="22">
      <c r="A22" s="19">
        <f>Inputs!B41</f>
        <v/>
      </c>
      <c r="B22" s="26">
        <f>Inputs!F41</f>
        <v/>
      </c>
      <c r="C22" s="21">
        <f>C21+B21</f>
        <v/>
      </c>
      <c r="D22" s="21">
        <f>IF(B22=0,0,C22+B22*(0.5+0.5*1/9))</f>
        <v/>
      </c>
      <c r="E22" s="21">
        <f>C22+B22</f>
        <v/>
      </c>
      <c r="F22" s="27">
        <f>F21+Inputs!G41</f>
        <v/>
      </c>
    </row>
    <row r="23">
      <c r="A23" s="19">
        <f>Inputs!B42</f>
        <v/>
      </c>
      <c r="B23" s="26">
        <f>Inputs!F42</f>
        <v/>
      </c>
      <c r="C23" s="21">
        <f>C22+B22</f>
        <v/>
      </c>
      <c r="D23" s="21">
        <f>IF(B23=0,0,C23+B23*(0.5+0.5*1/9))</f>
        <v/>
      </c>
      <c r="E23" s="21">
        <f>C23+B23</f>
        <v/>
      </c>
      <c r="F23" s="27">
        <f>F22+Inputs!G42</f>
        <v/>
      </c>
    </row>
    <row r="24">
      <c r="A24" s="19">
        <f>Inputs!B43</f>
        <v/>
      </c>
      <c r="B24" s="26">
        <f>Inputs!F43</f>
        <v/>
      </c>
      <c r="C24" s="21">
        <f>C23+B23</f>
        <v/>
      </c>
      <c r="D24" s="21">
        <f>IF(B24=0,0,C24+B24*(0.5+0.5*1/9))</f>
        <v/>
      </c>
      <c r="E24" s="21">
        <f>C24+B24</f>
        <v/>
      </c>
      <c r="F24" s="27">
        <f>F23+Inputs!G43</f>
        <v/>
      </c>
    </row>
    <row r="25">
      <c r="A25" s="19">
        <f>Inputs!B44</f>
        <v/>
      </c>
      <c r="B25" s="26">
        <f>Inputs!F44</f>
        <v/>
      </c>
      <c r="C25" s="21">
        <f>C24+B24</f>
        <v/>
      </c>
      <c r="D25" s="21">
        <f>IF(B25=0,0,C25+B25*(0.5+0.5*1/9))</f>
        <v/>
      </c>
      <c r="E25" s="21">
        <f>C25+B25</f>
        <v/>
      </c>
      <c r="F25" s="27">
        <f>F24+Inputs!G44</f>
        <v/>
      </c>
    </row>
    <row r="26"/>
    <row r="27"/>
    <row r="28">
      <c r="A28" s="6" t="inlineStr">
        <is>
          <t>Life planner (edit the blue cells: where each life rebirths)</t>
        </is>
      </c>
    </row>
    <row r="29">
      <c r="A29" s="15" t="inlineStr">
        <is>
          <t>Life</t>
        </is>
      </c>
      <c r="B29" s="15" t="inlineStr">
        <is>
          <t>Qi realm reached</t>
        </is>
      </c>
      <c r="C29" s="15" t="inlineStr">
        <is>
          <t>Level</t>
        </is>
      </c>
      <c r="D29" s="15" t="inlineStr">
        <is>
          <t>Body stage reached</t>
        </is>
      </c>
      <c r="E29" s="15" t="inlineStr">
        <is>
          <t>Layer</t>
        </is>
      </c>
      <c r="F29" s="15" t="inlineStr">
        <is>
          <t>Qi × during life</t>
        </is>
      </c>
      <c r="G29" s="15" t="inlineStr">
        <is>
          <t>Body × during life</t>
        </is>
      </c>
      <c r="H29" s="15" t="inlineStr">
        <is>
          <t>Meditation h to reach (life 1 basis)</t>
        </is>
      </c>
      <c r="I29" s="15" t="inlineStr">
        <is>
          <t>Life length (days)</t>
        </is>
      </c>
      <c r="J29" s="15" t="inlineStr">
        <is>
          <t>Cumulative day</t>
        </is>
      </c>
      <c r="K29" s="15" t="inlineStr">
        <is>
          <t>Qi gain</t>
        </is>
      </c>
      <c r="L29" s="15" t="inlineStr">
        <is>
          <t>Body gain</t>
        </is>
      </c>
      <c r="M29" s="15" t="inlineStr">
        <is>
          <t>Qi Karma</t>
        </is>
      </c>
      <c r="N29" s="15" t="inlineStr">
        <is>
          <t>Body Karma</t>
        </is>
      </c>
      <c r="O29" s="15" t="inlineStr">
        <is>
          <t>Karma this rebirth</t>
        </is>
      </c>
      <c r="P29" s="15" t="inlineStr">
        <is>
          <t>Karma total</t>
        </is>
      </c>
      <c r="Q29" s="15" t="inlineStr">
        <is>
          <t>Qi × after</t>
        </is>
      </c>
      <c r="R29" s="15" t="inlineStr">
        <is>
          <t>Body × after</t>
        </is>
      </c>
      <c r="S29" s="15" t="inlineStr">
        <is>
          <t>Dao Marks if ascending now</t>
        </is>
      </c>
    </row>
    <row r="30">
      <c r="A30" s="7" t="n">
        <v>1</v>
      </c>
      <c r="B30" s="28" t="inlineStr">
        <is>
          <t>GC</t>
        </is>
      </c>
      <c r="C30" s="28" t="n">
        <v>9</v>
      </c>
      <c r="D30" s="28" t="inlineStr">
        <is>
          <t>Silver Marrow</t>
        </is>
      </c>
      <c r="E30" s="28" t="n">
        <v>3</v>
      </c>
      <c r="F30" s="21" t="n">
        <v>1</v>
      </c>
      <c r="G30" s="21" t="n">
        <v>1</v>
      </c>
      <c r="H30" s="29">
        <f>INDEX(Qi_Pacing!$L$4:$L$93,MATCH(B30&amp;" "&amp;C30,Qi_Pacing!$A$4:$A$93,0))</f>
        <v/>
      </c>
      <c r="I30" s="25">
        <f>H30/F30/(Inputs!$B$10*Inputs!$B$11)</f>
        <v/>
      </c>
      <c r="J30" s="25">
        <f>I30</f>
        <v/>
      </c>
      <c r="K30" s="21">
        <f>INDEX($C$5:$C$14,MATCH(B30,$A$5:$A$14,0))+INDEX($B$5:$B$14,MATCH(B30,$A$5:$A$14,0))*(0.5+0.5*C30/9)</f>
        <v/>
      </c>
      <c r="L30" s="21">
        <f>INDEX($C$19:$C$25,MATCH(D30,$A$19:$A$25,0))+INDEX($B$19:$B$25,MATCH(D30,$A$19:$A$25,0))*(0.5+0.5*E30/9)</f>
        <v/>
      </c>
      <c r="M30" s="27">
        <f>INDEX($F$5:$F$14,MATCH(B30,$A$5:$A$14,0))</f>
        <v/>
      </c>
      <c r="N30" s="27">
        <f>INDEX($F$19:$F$25,MATCH(D30,$A$19:$A$25,0))</f>
        <v/>
      </c>
      <c r="O30" s="27">
        <f>M30+N30</f>
        <v/>
      </c>
      <c r="P30" s="27">
        <f>O30</f>
        <v/>
      </c>
      <c r="Q30" s="21">
        <f>F30+K30</f>
        <v/>
      </c>
      <c r="R30" s="21">
        <f>G30+L30</f>
        <v/>
      </c>
      <c r="S30" s="27">
        <f>FLOOR(10*SQRT(Q30*R30),1)</f>
        <v/>
      </c>
    </row>
    <row r="31">
      <c r="A31" s="7" t="n">
        <v>2</v>
      </c>
      <c r="B31" s="28" t="inlineStr">
        <is>
          <t>NS</t>
        </is>
      </c>
      <c r="C31" s="28" t="n">
        <v>9</v>
      </c>
      <c r="D31" s="28" t="inlineStr">
        <is>
          <t>Jade Flesh</t>
        </is>
      </c>
      <c r="E31" s="28" t="n">
        <v>1</v>
      </c>
      <c r="F31" s="21">
        <f>F30+K30</f>
        <v/>
      </c>
      <c r="G31" s="21">
        <f>G30+L30</f>
        <v/>
      </c>
      <c r="H31" s="29">
        <f>INDEX(Qi_Pacing!$L$4:$L$93,MATCH(B31&amp;" "&amp;C31,Qi_Pacing!$A$4:$A$93,0))</f>
        <v/>
      </c>
      <c r="I31" s="25">
        <f>H31/F31/(Inputs!$B$10*Inputs!$B$11)</f>
        <v/>
      </c>
      <c r="J31" s="25">
        <f>J30+I31</f>
        <v/>
      </c>
      <c r="K31" s="21">
        <f>INDEX($C$5:$C$14,MATCH(B31,$A$5:$A$14,0))+INDEX($B$5:$B$14,MATCH(B31,$A$5:$A$14,0))*(0.5+0.5*C31/9)</f>
        <v/>
      </c>
      <c r="L31" s="21">
        <f>INDEX($C$19:$C$25,MATCH(D31,$A$19:$A$25,0))+INDEX($B$19:$B$25,MATCH(D31,$A$19:$A$25,0))*(0.5+0.5*E31/9)</f>
        <v/>
      </c>
      <c r="M31" s="27">
        <f>INDEX($F$5:$F$14,MATCH(B31,$A$5:$A$14,0))</f>
        <v/>
      </c>
      <c r="N31" s="27">
        <f>INDEX($F$19:$F$25,MATCH(D31,$A$19:$A$25,0))</f>
        <v/>
      </c>
      <c r="O31" s="27">
        <f>M31+N31</f>
        <v/>
      </c>
      <c r="P31" s="27">
        <f>P30+O31</f>
        <v/>
      </c>
      <c r="Q31" s="21">
        <f>F31+K31</f>
        <v/>
      </c>
      <c r="R31" s="21">
        <f>G31+L31</f>
        <v/>
      </c>
      <c r="S31" s="27">
        <f>FLOOR(10*SQRT(Q31*R31),1)</f>
        <v/>
      </c>
    </row>
    <row r="32">
      <c r="A32" s="7" t="n">
        <v>3</v>
      </c>
      <c r="B32" s="28" t="inlineStr">
        <is>
          <t>NS</t>
        </is>
      </c>
      <c r="C32" s="28" t="n">
        <v>9</v>
      </c>
      <c r="D32" s="28" t="inlineStr">
        <is>
          <t>Jade Flesh</t>
        </is>
      </c>
      <c r="E32" s="28" t="n">
        <v>5</v>
      </c>
      <c r="F32" s="21">
        <f>F31+K31</f>
        <v/>
      </c>
      <c r="G32" s="21">
        <f>G31+L31</f>
        <v/>
      </c>
      <c r="H32" s="29">
        <f>INDEX(Qi_Pacing!$L$4:$L$93,MATCH(B32&amp;" "&amp;C32,Qi_Pacing!$A$4:$A$93,0))</f>
        <v/>
      </c>
      <c r="I32" s="25">
        <f>H32/F32/(Inputs!$B$10*Inputs!$B$11)</f>
        <v/>
      </c>
      <c r="J32" s="25">
        <f>J31+I32</f>
        <v/>
      </c>
      <c r="K32" s="21">
        <f>INDEX($C$5:$C$14,MATCH(B32,$A$5:$A$14,0))+INDEX($B$5:$B$14,MATCH(B32,$A$5:$A$14,0))*(0.5+0.5*C32/9)</f>
        <v/>
      </c>
      <c r="L32" s="21">
        <f>INDEX($C$19:$C$25,MATCH(D32,$A$19:$A$25,0))+INDEX($B$19:$B$25,MATCH(D32,$A$19:$A$25,0))*(0.5+0.5*E32/9)</f>
        <v/>
      </c>
      <c r="M32" s="27">
        <f>INDEX($F$5:$F$14,MATCH(B32,$A$5:$A$14,0))</f>
        <v/>
      </c>
      <c r="N32" s="27">
        <f>INDEX($F$19:$F$25,MATCH(D32,$A$19:$A$25,0))</f>
        <v/>
      </c>
      <c r="O32" s="27">
        <f>M32+N32</f>
        <v/>
      </c>
      <c r="P32" s="27">
        <f>P31+O32</f>
        <v/>
      </c>
      <c r="Q32" s="21">
        <f>F32+K32</f>
        <v/>
      </c>
      <c r="R32" s="21">
        <f>G32+L32</f>
        <v/>
      </c>
      <c r="S32" s="27">
        <f>FLOOR(10*SQRT(Q32*R32),1)</f>
        <v/>
      </c>
    </row>
    <row r="33">
      <c r="A33" s="7" t="n">
        <v>4</v>
      </c>
      <c r="B33" s="28" t="inlineStr">
        <is>
          <t>SF</t>
        </is>
      </c>
      <c r="C33" s="28" t="n">
        <v>5</v>
      </c>
      <c r="D33" s="28" t="inlineStr">
        <is>
          <t>Jade Flesh</t>
        </is>
      </c>
      <c r="E33" s="28" t="n">
        <v>9</v>
      </c>
      <c r="F33" s="21">
        <f>F32+K32</f>
        <v/>
      </c>
      <c r="G33" s="21">
        <f>G32+L32</f>
        <v/>
      </c>
      <c r="H33" s="29">
        <f>INDEX(Qi_Pacing!$L$4:$L$93,MATCH(B33&amp;" "&amp;C33,Qi_Pacing!$A$4:$A$93,0))</f>
        <v/>
      </c>
      <c r="I33" s="25">
        <f>H33/F33/(Inputs!$B$10*Inputs!$B$11)</f>
        <v/>
      </c>
      <c r="J33" s="25">
        <f>J32+I33</f>
        <v/>
      </c>
      <c r="K33" s="21">
        <f>INDEX($C$5:$C$14,MATCH(B33,$A$5:$A$14,0))+INDEX($B$5:$B$14,MATCH(B33,$A$5:$A$14,0))*(0.5+0.5*C33/9)</f>
        <v/>
      </c>
      <c r="L33" s="21">
        <f>INDEX($C$19:$C$25,MATCH(D33,$A$19:$A$25,0))+INDEX($B$19:$B$25,MATCH(D33,$A$19:$A$25,0))*(0.5+0.5*E33/9)</f>
        <v/>
      </c>
      <c r="M33" s="27">
        <f>INDEX($F$5:$F$14,MATCH(B33,$A$5:$A$14,0))</f>
        <v/>
      </c>
      <c r="N33" s="27">
        <f>INDEX($F$19:$F$25,MATCH(D33,$A$19:$A$25,0))</f>
        <v/>
      </c>
      <c r="O33" s="27">
        <f>M33+N33</f>
        <v/>
      </c>
      <c r="P33" s="27">
        <f>P32+O33</f>
        <v/>
      </c>
      <c r="Q33" s="21">
        <f>F33+K33</f>
        <v/>
      </c>
      <c r="R33" s="21">
        <f>G33+L33</f>
        <v/>
      </c>
      <c r="S33" s="27">
        <f>FLOOR(10*SQRT(Q33*R33),1)</f>
        <v/>
      </c>
    </row>
    <row r="34">
      <c r="A34" s="7" t="n">
        <v>5</v>
      </c>
      <c r="B34" s="28" t="inlineStr">
        <is>
          <t>VB</t>
        </is>
      </c>
      <c r="C34" s="28" t="n">
        <v>5</v>
      </c>
      <c r="D34" s="28" t="inlineStr">
        <is>
          <t>Golden Body</t>
        </is>
      </c>
      <c r="E34" s="28" t="n">
        <v>3</v>
      </c>
      <c r="F34" s="21">
        <f>F33+K33</f>
        <v/>
      </c>
      <c r="G34" s="21">
        <f>G33+L33</f>
        <v/>
      </c>
      <c r="H34" s="29">
        <f>INDEX(Qi_Pacing!$L$4:$L$93,MATCH(B34&amp;" "&amp;C34,Qi_Pacing!$A$4:$A$93,0))</f>
        <v/>
      </c>
      <c r="I34" s="25">
        <f>H34/F34/(Inputs!$B$10*Inputs!$B$11)</f>
        <v/>
      </c>
      <c r="J34" s="25">
        <f>J33+I34</f>
        <v/>
      </c>
      <c r="K34" s="21">
        <f>INDEX($C$5:$C$14,MATCH(B34,$A$5:$A$14,0))+INDEX($B$5:$B$14,MATCH(B34,$A$5:$A$14,0))*(0.5+0.5*C34/9)</f>
        <v/>
      </c>
      <c r="L34" s="21">
        <f>INDEX($C$19:$C$25,MATCH(D34,$A$19:$A$25,0))+INDEX($B$19:$B$25,MATCH(D34,$A$19:$A$25,0))*(0.5+0.5*E34/9)</f>
        <v/>
      </c>
      <c r="M34" s="27">
        <f>INDEX($F$5:$F$14,MATCH(B34,$A$5:$A$14,0))</f>
        <v/>
      </c>
      <c r="N34" s="27">
        <f>INDEX($F$19:$F$25,MATCH(D34,$A$19:$A$25,0))</f>
        <v/>
      </c>
      <c r="O34" s="27">
        <f>M34+N34</f>
        <v/>
      </c>
      <c r="P34" s="27">
        <f>P33+O34</f>
        <v/>
      </c>
      <c r="Q34" s="21">
        <f>F34+K34</f>
        <v/>
      </c>
      <c r="R34" s="21">
        <f>G34+L34</f>
        <v/>
      </c>
      <c r="S34" s="27">
        <f>FLOOR(10*SQRT(Q34*R34),1)</f>
        <v/>
      </c>
    </row>
    <row r="35">
      <c r="A35" s="7" t="n">
        <v>6</v>
      </c>
      <c r="B35" s="28" t="inlineStr">
        <is>
          <t>MA</t>
        </is>
      </c>
      <c r="C35" s="28" t="n">
        <v>5</v>
      </c>
      <c r="D35" s="28" t="inlineStr">
        <is>
          <t>Golden Body</t>
        </is>
      </c>
      <c r="E35" s="28" t="n">
        <v>9</v>
      </c>
      <c r="F35" s="21">
        <f>F34+K34</f>
        <v/>
      </c>
      <c r="G35" s="21">
        <f>G34+L34</f>
        <v/>
      </c>
      <c r="H35" s="29">
        <f>INDEX(Qi_Pacing!$L$4:$L$93,MATCH(B35&amp;" "&amp;C35,Qi_Pacing!$A$4:$A$93,0))</f>
        <v/>
      </c>
      <c r="I35" s="25">
        <f>H35/F35/(Inputs!$B$10*Inputs!$B$11)</f>
        <v/>
      </c>
      <c r="J35" s="25">
        <f>J34+I35</f>
        <v/>
      </c>
      <c r="K35" s="21">
        <f>INDEX($C$5:$C$14,MATCH(B35,$A$5:$A$14,0))+INDEX($B$5:$B$14,MATCH(B35,$A$5:$A$14,0))*(0.5+0.5*C35/9)</f>
        <v/>
      </c>
      <c r="L35" s="21">
        <f>INDEX($C$19:$C$25,MATCH(D35,$A$19:$A$25,0))+INDEX($B$19:$B$25,MATCH(D35,$A$19:$A$25,0))*(0.5+0.5*E35/9)</f>
        <v/>
      </c>
      <c r="M35" s="27">
        <f>INDEX($F$5:$F$14,MATCH(B35,$A$5:$A$14,0))</f>
        <v/>
      </c>
      <c r="N35" s="27">
        <f>INDEX($F$19:$F$25,MATCH(D35,$A$19:$A$25,0))</f>
        <v/>
      </c>
      <c r="O35" s="27">
        <f>M35+N35</f>
        <v/>
      </c>
      <c r="P35" s="27">
        <f>P34+O35</f>
        <v/>
      </c>
      <c r="Q35" s="21">
        <f>F35+K35</f>
        <v/>
      </c>
      <c r="R35" s="21">
        <f>G35+L35</f>
        <v/>
      </c>
      <c r="S35" s="27">
        <f>FLOOR(10*SQRT(Q35*R35),1)</f>
        <v/>
      </c>
    </row>
    <row r="36"/>
    <row r="37">
      <c r="A37" s="7" t="inlineStr">
        <is>
          <t>Life length = first-life meditation hours to reach that point ÷ the Qi multiplier during the life (approximation; body and gates not included).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1" customWidth="1" min="4" max="4"/>
    <col width="11" customWidth="1" min="5" max="5"/>
    <col width="7" customWidth="1" min="6" max="6"/>
    <col width="15" customWidth="1" min="7" max="7"/>
    <col width="16" customWidth="1" min="8" max="8"/>
    <col width="12" customWidth="1" min="9" max="9"/>
    <col width="18" customWidth="1" min="10" max="10"/>
    <col width="9" customWidth="1" min="11" max="11"/>
  </cols>
  <sheetData>
    <row r="1">
      <c r="A1" s="5" t="inlineStr">
        <is>
          <t>Spirit Stone income vs Cultivation Ground upkeep</t>
        </is>
      </c>
    </row>
    <row r="2"/>
    <row r="3">
      <c r="A3" s="15" t="inlineStr">
        <is>
          <t>Tier</t>
        </is>
      </c>
      <c r="B3" s="15" t="inlineStr">
        <is>
          <t>Realms</t>
        </is>
      </c>
      <c r="C3" s="15" t="inlineStr">
        <is>
          <t>Stones per hour (income)</t>
        </is>
      </c>
    </row>
    <row r="4">
      <c r="A4" s="30" t="n">
        <v>1</v>
      </c>
      <c r="B4" s="7" t="inlineStr">
        <is>
          <t>MO–QS</t>
        </is>
      </c>
      <c r="C4" s="16" t="n">
        <v>200</v>
      </c>
    </row>
    <row r="5">
      <c r="A5" s="30" t="n">
        <v>2</v>
      </c>
      <c r="B5" s="7" t="inlineStr">
        <is>
          <t>FE</t>
        </is>
      </c>
      <c r="C5" s="16" t="n">
        <v>2000</v>
      </c>
    </row>
    <row r="6">
      <c r="A6" s="30" t="n">
        <v>3</v>
      </c>
      <c r="B6" s="7" t="inlineStr">
        <is>
          <t>GC</t>
        </is>
      </c>
      <c r="C6" s="16" t="n">
        <v>15000</v>
      </c>
    </row>
    <row r="7">
      <c r="A7" s="30" t="n">
        <v>4</v>
      </c>
      <c r="B7" s="7" t="inlineStr">
        <is>
          <t>NS</t>
        </is>
      </c>
      <c r="C7" s="16" t="n">
        <v>100000</v>
      </c>
    </row>
    <row r="8">
      <c r="A8" s="30" t="n">
        <v>5</v>
      </c>
      <c r="B8" s="7" t="inlineStr">
        <is>
          <t>SF</t>
        </is>
      </c>
      <c r="C8" s="31">
        <f>C7*Inputs!$B$18</f>
        <v/>
      </c>
    </row>
    <row r="9">
      <c r="A9" s="30" t="n">
        <v>6</v>
      </c>
      <c r="B9" s="7" t="inlineStr">
        <is>
          <t>VB</t>
        </is>
      </c>
      <c r="C9" s="31">
        <f>C8*Inputs!$B$18</f>
        <v/>
      </c>
    </row>
    <row r="10">
      <c r="A10" s="30" t="n">
        <v>7</v>
      </c>
      <c r="B10" s="7" t="inlineStr">
        <is>
          <t>MA</t>
        </is>
      </c>
      <c r="C10" s="31">
        <f>C9*Inputs!$B$18</f>
        <v/>
      </c>
    </row>
    <row r="11">
      <c r="A11" s="30" t="n">
        <v>8</v>
      </c>
      <c r="B11" s="7" t="inlineStr">
        <is>
          <t>GA 1–4</t>
        </is>
      </c>
      <c r="C11" s="31">
        <f>C10*Inputs!$B$18</f>
        <v/>
      </c>
    </row>
    <row r="12">
      <c r="A12" s="30" t="n">
        <v>9</v>
      </c>
      <c r="B12" s="7" t="inlineStr">
        <is>
          <t>GA 5–9</t>
        </is>
      </c>
      <c r="C12" s="31">
        <f>C11*Inputs!$B$18</f>
        <v/>
      </c>
    </row>
    <row r="13">
      <c r="A13" s="7" t="inlineStr">
        <is>
          <t>T1–T4 income from 03-Economy (Spirit Stone Flow); T5+ extrapolated ×7 per tier.</t>
        </is>
      </c>
    </row>
    <row r="14"/>
    <row r="15">
      <c r="A15" s="15" t="inlineStr">
        <is>
          <t>Map #</t>
        </is>
      </c>
      <c r="B15" s="15" t="inlineStr">
        <is>
          <t>Ground</t>
        </is>
      </c>
      <c r="C15" s="15" t="inlineStr">
        <is>
          <t>Kind</t>
        </is>
      </c>
      <c r="D15" s="15" t="inlineStr">
        <is>
          <t>Multiplier</t>
        </is>
      </c>
      <c r="E15" s="15" t="inlineStr">
        <is>
          <t>Min realm</t>
        </is>
      </c>
      <c r="F15" s="15" t="inlineStr">
        <is>
          <t>Tier</t>
        </is>
      </c>
      <c r="G15" s="15" t="inlineStr">
        <is>
          <t>Upkeep/h (docs)</t>
        </is>
      </c>
      <c r="H15" s="15" t="inlineStr">
        <is>
          <t>Income/h at tier</t>
        </is>
      </c>
      <c r="I15" s="15" t="inlineStr">
        <is>
          <t>Upkeep share</t>
        </is>
      </c>
      <c r="J15" s="15" t="inlineStr">
        <is>
          <t>Recommended upkeep/h</t>
        </is>
      </c>
      <c r="K15" s="15" t="inlineStr">
        <is>
          <t>Check</t>
        </is>
      </c>
    </row>
    <row r="16">
      <c r="A16" s="7" t="inlineStr">
        <is>
          <t>—</t>
        </is>
      </c>
      <c r="B16" s="7" t="inlineStr">
        <is>
          <t>Humble Hut</t>
        </is>
      </c>
      <c r="C16" s="7" t="inlineStr">
        <is>
          <t>Meditation</t>
        </is>
      </c>
      <c r="D16" s="8" t="n">
        <v>1</v>
      </c>
      <c r="E16" s="7" t="inlineStr">
        <is>
          <t>MO 1</t>
        </is>
      </c>
      <c r="F16" s="32" t="n">
        <v>1</v>
      </c>
      <c r="G16" s="16" t="n">
        <v>0</v>
      </c>
      <c r="H16" s="31">
        <f>INDEX($C$4:$C$12,F16)</f>
        <v/>
      </c>
      <c r="I16" s="33">
        <f>IFERROR(G16/H16,0)</f>
        <v/>
      </c>
      <c r="J16" s="31">
        <f>IF(G16&gt;0,ROUND(H16*Inputs!$B$19,-2),0)</f>
        <v/>
      </c>
      <c r="K16" s="7">
        <f>IF(G16=0,"—",IF(AND(I16&gt;=0.1,I16&lt;=0.15),"OK","Retune"))</f>
        <v/>
      </c>
    </row>
    <row r="17">
      <c r="A17" s="7" t="inlineStr">
        <is>
          <t>—</t>
        </is>
      </c>
      <c r="B17" s="7" t="inlineStr">
        <is>
          <t>Village Courtyard</t>
        </is>
      </c>
      <c r="C17" s="7" t="inlineStr">
        <is>
          <t>Training</t>
        </is>
      </c>
      <c r="D17" s="8" t="n">
        <v>1</v>
      </c>
      <c r="E17" s="7" t="inlineStr">
        <is>
          <t>QC 1</t>
        </is>
      </c>
      <c r="F17" s="32" t="n">
        <v>1</v>
      </c>
      <c r="G17" s="16" t="n">
        <v>0</v>
      </c>
      <c r="H17" s="31">
        <f>INDEX($C$4:$C$12,F17)</f>
        <v/>
      </c>
      <c r="I17" s="33">
        <f>IFERROR(G17/H17,0)</f>
        <v/>
      </c>
      <c r="J17" s="31">
        <f>IF(G17&gt;0,ROUND(H17*Inputs!$B$19,-2),0)</f>
        <v/>
      </c>
      <c r="K17" s="7">
        <f>IF(G17=0,"—",IF(AND(I17&gt;=0.1,I17&lt;=0.15),"OK","Retune"))</f>
        <v/>
      </c>
    </row>
    <row r="18">
      <c r="A18" s="7" t="inlineStr">
        <is>
          <t>1</t>
        </is>
      </c>
      <c r="B18" s="7" t="inlineStr">
        <is>
          <t>Bamboo Grove Hermitage</t>
        </is>
      </c>
      <c r="C18" s="7" t="inlineStr">
        <is>
          <t>Meditation</t>
        </is>
      </c>
      <c r="D18" s="8" t="n">
        <v>1.1</v>
      </c>
      <c r="E18" s="7" t="inlineStr">
        <is>
          <t>MO 5</t>
        </is>
      </c>
      <c r="F18" s="32" t="n">
        <v>1</v>
      </c>
      <c r="G18" s="16" t="n">
        <v>0</v>
      </c>
      <c r="H18" s="31">
        <f>INDEX($C$4:$C$12,F18)</f>
        <v/>
      </c>
      <c r="I18" s="33">
        <f>IFERROR(G18/H18,0)</f>
        <v/>
      </c>
      <c r="J18" s="31">
        <f>IF(G18&gt;0,ROUND(H18*Inputs!$B$19,-2),0)</f>
        <v/>
      </c>
      <c r="K18" s="7">
        <f>IF(G18=0,"—",IF(AND(I18&gt;=0.1,I18&lt;=0.15),"OK","Retune"))</f>
        <v/>
      </c>
    </row>
    <row r="19">
      <c r="A19" s="7" t="inlineStr">
        <is>
          <t>2</t>
        </is>
      </c>
      <c r="B19" s="7" t="inlineStr">
        <is>
          <t>Pass Fort Drill Yard</t>
        </is>
      </c>
      <c r="C19" s="7" t="inlineStr">
        <is>
          <t>Training</t>
        </is>
      </c>
      <c r="D19" s="8" t="n">
        <v>1.1</v>
      </c>
      <c r="E19" s="7" t="inlineStr">
        <is>
          <t>QC 7</t>
        </is>
      </c>
      <c r="F19" s="32" t="n">
        <v>1</v>
      </c>
      <c r="G19" s="16" t="n">
        <v>0</v>
      </c>
      <c r="H19" s="31">
        <f>INDEX($C$4:$C$12,F19)</f>
        <v/>
      </c>
      <c r="I19" s="33">
        <f>IFERROR(G19/H19,0)</f>
        <v/>
      </c>
      <c r="J19" s="31">
        <f>IF(G19&gt;0,ROUND(H19*Inputs!$B$19,-2),0)</f>
        <v/>
      </c>
      <c r="K19" s="7">
        <f>IF(G19=0,"—",IF(AND(I19&gt;=0.1,I19&lt;=0.15),"OK","Retune"))</f>
        <v/>
      </c>
    </row>
    <row r="20">
      <c r="A20" s="7" t="inlineStr">
        <is>
          <t>3</t>
        </is>
      </c>
      <c r="B20" s="7" t="inlineStr">
        <is>
          <t>Moonlit Lake Pavilion</t>
        </is>
      </c>
      <c r="C20" s="7" t="inlineStr">
        <is>
          <t>Meditation</t>
        </is>
      </c>
      <c r="D20" s="8" t="n">
        <v>1.2</v>
      </c>
      <c r="E20" s="7" t="inlineStr">
        <is>
          <t>FE 1</t>
        </is>
      </c>
      <c r="F20" s="32" t="n">
        <v>2</v>
      </c>
      <c r="G20" s="16" t="n">
        <v>0</v>
      </c>
      <c r="H20" s="31">
        <f>INDEX($C$4:$C$12,F20)</f>
        <v/>
      </c>
      <c r="I20" s="33">
        <f>IFERROR(G20/H20,0)</f>
        <v/>
      </c>
      <c r="J20" s="31">
        <f>IF(G20&gt;0,ROUND(H20*Inputs!$B$19,-2),0)</f>
        <v/>
      </c>
      <c r="K20" s="7">
        <f>IF(G20=0,"—",IF(AND(I20&gt;=0.1,I20&lt;=0.15),"OK","Retune"))</f>
        <v/>
      </c>
    </row>
    <row r="21">
      <c r="A21" s="7" t="inlineStr">
        <is>
          <t>4</t>
        </is>
      </c>
      <c r="B21" s="7" t="inlineStr">
        <is>
          <t>Ember Hot Springs</t>
        </is>
      </c>
      <c r="C21" s="7" t="inlineStr">
        <is>
          <t>Training</t>
        </is>
      </c>
      <c r="D21" s="8" t="n">
        <v>1.25</v>
      </c>
      <c r="E21" s="7" t="inlineStr">
        <is>
          <t>FE 4</t>
        </is>
      </c>
      <c r="F21" s="32" t="n">
        <v>2</v>
      </c>
      <c r="G21" s="16" t="n">
        <v>0</v>
      </c>
      <c r="H21" s="31">
        <f>INDEX($C$4:$C$12,F21)</f>
        <v/>
      </c>
      <c r="I21" s="33">
        <f>IFERROR(G21/H21,0)</f>
        <v/>
      </c>
      <c r="J21" s="31">
        <f>IF(G21&gt;0,ROUND(H21*Inputs!$B$19,-2),0)</f>
        <v/>
      </c>
      <c r="K21" s="7">
        <f>IF(G21=0,"—",IF(AND(I21&gt;=0.1,I21&lt;=0.15),"OK","Retune"))</f>
        <v/>
      </c>
    </row>
    <row r="22">
      <c r="A22" s="7" t="inlineStr">
        <is>
          <t>5</t>
        </is>
      </c>
      <c r="B22" s="7" t="inlineStr">
        <is>
          <t>Ruined Meditation Hall</t>
        </is>
      </c>
      <c r="C22" s="7" t="inlineStr">
        <is>
          <t>Meditation</t>
        </is>
      </c>
      <c r="D22" s="8" t="n">
        <v>1.3</v>
      </c>
      <c r="E22" s="7" t="inlineStr">
        <is>
          <t>FE 8</t>
        </is>
      </c>
      <c r="F22" s="32" t="n">
        <v>2</v>
      </c>
      <c r="G22" s="16" t="n">
        <v>0</v>
      </c>
      <c r="H22" s="31">
        <f>INDEX($C$4:$C$12,F22)</f>
        <v/>
      </c>
      <c r="I22" s="33">
        <f>IFERROR(G22/H22,0)</f>
        <v/>
      </c>
      <c r="J22" s="31">
        <f>IF(G22&gt;0,ROUND(H22*Inputs!$B$19,-2),0)</f>
        <v/>
      </c>
      <c r="K22" s="7">
        <f>IF(G22=0,"—",IF(AND(I22&gt;=0.1,I22&lt;=0.15),"OK","Retune"))</f>
        <v/>
      </c>
    </row>
    <row r="23">
      <c r="A23" s="7" t="inlineStr">
        <is>
          <t>6</t>
        </is>
      </c>
      <c r="B23" s="7" t="inlineStr">
        <is>
          <t>Thunderstruck Summit</t>
        </is>
      </c>
      <c r="C23" s="7" t="inlineStr">
        <is>
          <t>Training</t>
        </is>
      </c>
      <c r="D23" s="8" t="n">
        <v>1.35</v>
      </c>
      <c r="E23" s="7" t="inlineStr">
        <is>
          <t>GC 2</t>
        </is>
      </c>
      <c r="F23" s="32" t="n">
        <v>3</v>
      </c>
      <c r="G23" s="16" t="n">
        <v>0</v>
      </c>
      <c r="H23" s="31">
        <f>INDEX($C$4:$C$12,F23)</f>
        <v/>
      </c>
      <c r="I23" s="33">
        <f>IFERROR(G23/H23,0)</f>
        <v/>
      </c>
      <c r="J23" s="31">
        <f>IF(G23&gt;0,ROUND(H23*Inputs!$B$19,-2),0)</f>
        <v/>
      </c>
      <c r="K23" s="7">
        <f>IF(G23=0,"—",IF(AND(I23&gt;=0.1,I23&lt;=0.15),"OK","Retune"))</f>
        <v/>
      </c>
    </row>
    <row r="24">
      <c r="A24" s="7" t="inlineStr">
        <is>
          <t>7</t>
        </is>
      </c>
      <c r="B24" s="7" t="inlineStr">
        <is>
          <t>Venom-Steeped Pools</t>
        </is>
      </c>
      <c r="C24" s="7" t="inlineStr">
        <is>
          <t>Training</t>
        </is>
      </c>
      <c r="D24" s="8" t="n">
        <v>1.45</v>
      </c>
      <c r="E24" s="7" t="inlineStr">
        <is>
          <t>GC 5</t>
        </is>
      </c>
      <c r="F24" s="32" t="n">
        <v>3</v>
      </c>
      <c r="G24" s="16" t="n">
        <v>0</v>
      </c>
      <c r="H24" s="31">
        <f>INDEX($C$4:$C$12,F24)</f>
        <v/>
      </c>
      <c r="I24" s="33">
        <f>IFERROR(G24/H24,0)</f>
        <v/>
      </c>
      <c r="J24" s="31">
        <f>IF(G24&gt;0,ROUND(H24*Inputs!$B$19,-2),0)</f>
        <v/>
      </c>
      <c r="K24" s="7">
        <f>IF(G24=0,"—",IF(AND(I24&gt;=0.1,I24&lt;=0.15),"OK","Retune"))</f>
        <v/>
      </c>
    </row>
    <row r="25">
      <c r="A25" s="7" t="inlineStr">
        <is>
          <t>8</t>
        </is>
      </c>
      <c r="B25" s="7" t="inlineStr">
        <is>
          <t>Glacial Cave of Stillness</t>
        </is>
      </c>
      <c r="C25" s="7" t="inlineStr">
        <is>
          <t>Meditation</t>
        </is>
      </c>
      <c r="D25" s="8" t="n">
        <v>1.5</v>
      </c>
      <c r="E25" s="7" t="inlineStr">
        <is>
          <t>GC 8</t>
        </is>
      </c>
      <c r="F25" s="32" t="n">
        <v>3</v>
      </c>
      <c r="G25" s="16" t="n">
        <v>0</v>
      </c>
      <c r="H25" s="31">
        <f>INDEX($C$4:$C$12,F25)</f>
        <v/>
      </c>
      <c r="I25" s="33">
        <f>IFERROR(G25/H25,0)</f>
        <v/>
      </c>
      <c r="J25" s="31">
        <f>IF(G25&gt;0,ROUND(H25*Inputs!$B$19,-2),0)</f>
        <v/>
      </c>
      <c r="K25" s="7">
        <f>IF(G25=0,"—",IF(AND(I25&gt;=0.1,I25&lt;=0.15),"OK","Retune"))</f>
        <v/>
      </c>
    </row>
    <row r="26">
      <c r="A26" s="7" t="inlineStr">
        <is>
          <t>9</t>
        </is>
      </c>
      <c r="B26" s="7" t="inlineStr">
        <is>
          <t>Sunscorch Dunes</t>
        </is>
      </c>
      <c r="C26" s="7" t="inlineStr">
        <is>
          <t>Training</t>
        </is>
      </c>
      <c r="D26" s="8" t="n">
        <v>1.6</v>
      </c>
      <c r="E26" s="7" t="inlineStr">
        <is>
          <t>NS 1</t>
        </is>
      </c>
      <c r="F26" s="32" t="n">
        <v>4</v>
      </c>
      <c r="G26" s="16" t="n">
        <v>0</v>
      </c>
      <c r="H26" s="31">
        <f>INDEX($C$4:$C$12,F26)</f>
        <v/>
      </c>
      <c r="I26" s="33">
        <f>IFERROR(G26/H26,0)</f>
        <v/>
      </c>
      <c r="J26" s="31">
        <f>IF(G26&gt;0,ROUND(H26*Inputs!$B$19,-2),0)</f>
        <v/>
      </c>
      <c r="K26" s="7">
        <f>IF(G26=0,"—",IF(AND(I26&gt;=0.1,I26&lt;=0.15),"OK","Retune"))</f>
        <v/>
      </c>
    </row>
    <row r="27">
      <c r="A27" s="7" t="inlineStr">
        <is>
          <t>10</t>
        </is>
      </c>
      <c r="B27" s="7" t="inlineStr">
        <is>
          <t>Yin Spirit Altar</t>
        </is>
      </c>
      <c r="C27" s="7" t="inlineStr">
        <is>
          <t>Meditation</t>
        </is>
      </c>
      <c r="D27" s="8" t="n">
        <v>1.65</v>
      </c>
      <c r="E27" s="7" t="inlineStr">
        <is>
          <t>NS 4</t>
        </is>
      </c>
      <c r="F27" s="32" t="n">
        <v>4</v>
      </c>
      <c r="G27" s="16" t="n">
        <v>0</v>
      </c>
      <c r="H27" s="31">
        <f>INDEX($C$4:$C$12,F27)</f>
        <v/>
      </c>
      <c r="I27" s="33">
        <f>IFERROR(G27/H27,0)</f>
        <v/>
      </c>
      <c r="J27" s="31">
        <f>IF(G27&gt;0,ROUND(H27*Inputs!$B$19,-2),0)</f>
        <v/>
      </c>
      <c r="K27" s="7">
        <f>IF(G27=0,"—",IF(AND(I27&gt;=0.1,I27&lt;=0.15),"OK","Retune"))</f>
        <v/>
      </c>
    </row>
    <row r="28">
      <c r="A28" s="7" t="inlineStr">
        <is>
          <t>11</t>
        </is>
      </c>
      <c r="B28" s="7" t="inlineStr">
        <is>
          <t>Tidal Reef Platform</t>
        </is>
      </c>
      <c r="C28" s="7" t="inlineStr">
        <is>
          <t>Training</t>
        </is>
      </c>
      <c r="D28" s="8" t="n">
        <v>1.75</v>
      </c>
      <c r="E28" s="7" t="inlineStr">
        <is>
          <t>NS 7</t>
        </is>
      </c>
      <c r="F28" s="32" t="n">
        <v>4</v>
      </c>
      <c r="G28" s="16" t="n">
        <v>0</v>
      </c>
      <c r="H28" s="31">
        <f>INDEX($C$4:$C$12,F28)</f>
        <v/>
      </c>
      <c r="I28" s="33">
        <f>IFERROR(G28/H28,0)</f>
        <v/>
      </c>
      <c r="J28" s="31">
        <f>IF(G28&gt;0,ROUND(H28*Inputs!$B$19,-2),0)</f>
        <v/>
      </c>
      <c r="K28" s="7">
        <f>IF(G28=0,"—",IF(AND(I28&gt;=0.1,I28&lt;=0.15),"OK","Retune"))</f>
        <v/>
      </c>
    </row>
    <row r="29">
      <c r="A29" s="7" t="inlineStr">
        <is>
          <t>12</t>
        </is>
      </c>
      <c r="B29" s="7" t="inlineStr">
        <is>
          <t>Cloud Sea Peak</t>
        </is>
      </c>
      <c r="C29" s="7" t="inlineStr">
        <is>
          <t>Meditation</t>
        </is>
      </c>
      <c r="D29" s="8" t="n">
        <v>1.9</v>
      </c>
      <c r="E29" s="7" t="inlineStr">
        <is>
          <t>SF 1</t>
        </is>
      </c>
      <c r="F29" s="32" t="n">
        <v>5</v>
      </c>
      <c r="G29" s="16" t="n">
        <v>70000</v>
      </c>
      <c r="H29" s="31">
        <f>INDEX($C$4:$C$12,F29)</f>
        <v/>
      </c>
      <c r="I29" s="33">
        <f>IFERROR(G29/H29,0)</f>
        <v/>
      </c>
      <c r="J29" s="31">
        <f>IF(G29&gt;0,ROUND(H29*Inputs!$B$19,-2),0)</f>
        <v/>
      </c>
      <c r="K29" s="7">
        <f>IF(G29=0,"—",IF(AND(I29&gt;=0.1,I29&lt;=0.15),"OK","Retune"))</f>
        <v/>
      </c>
    </row>
    <row r="30">
      <c r="A30" s="7" t="inlineStr">
        <is>
          <t>13</t>
        </is>
      </c>
      <c r="B30" s="7" t="inlineStr">
        <is>
          <t>Volcano Crater Forge</t>
        </is>
      </c>
      <c r="C30" s="7" t="inlineStr">
        <is>
          <t>Training</t>
        </is>
      </c>
      <c r="D30" s="8" t="n">
        <v>1.95</v>
      </c>
      <c r="E30" s="7" t="inlineStr">
        <is>
          <t>SF 4</t>
        </is>
      </c>
      <c r="F30" s="32" t="n">
        <v>5</v>
      </c>
      <c r="G30" s="16" t="n">
        <v>84000</v>
      </c>
      <c r="H30" s="31">
        <f>INDEX($C$4:$C$12,F30)</f>
        <v/>
      </c>
      <c r="I30" s="33">
        <f>IFERROR(G30/H30,0)</f>
        <v/>
      </c>
      <c r="J30" s="31">
        <f>IF(G30&gt;0,ROUND(H30*Inputs!$B$19,-2),0)</f>
        <v/>
      </c>
      <c r="K30" s="7">
        <f>IF(G30=0,"—",IF(AND(I30&gt;=0.1,I30&lt;=0.15),"OK","Retune"))</f>
        <v/>
      </c>
    </row>
    <row r="31">
      <c r="A31" s="7" t="inlineStr">
        <is>
          <t>14</t>
        </is>
      </c>
      <c r="B31" s="7" t="inlineStr">
        <is>
          <t>Primal Spirit Spring</t>
        </is>
      </c>
      <c r="C31" s="7" t="inlineStr">
        <is>
          <t>Meditation</t>
        </is>
      </c>
      <c r="D31" s="8" t="n">
        <v>2.05</v>
      </c>
      <c r="E31" s="7" t="inlineStr">
        <is>
          <t>SF 7</t>
        </is>
      </c>
      <c r="F31" s="32" t="n">
        <v>5</v>
      </c>
      <c r="G31" s="16" t="n">
        <v>98000</v>
      </c>
      <c r="H31" s="31">
        <f>INDEX($C$4:$C$12,F31)</f>
        <v/>
      </c>
      <c r="I31" s="33">
        <f>IFERROR(G31/H31,0)</f>
        <v/>
      </c>
      <c r="J31" s="31">
        <f>IF(G31&gt;0,ROUND(H31*Inputs!$B$19,-2),0)</f>
        <v/>
      </c>
      <c r="K31" s="7">
        <f>IF(G31=0,"—",IF(AND(I31&gt;=0.1,I31&lt;=0.15),"OK","Retune"))</f>
        <v/>
      </c>
    </row>
    <row r="32">
      <c r="A32" s="7" t="inlineStr">
        <is>
          <t>15</t>
        </is>
      </c>
      <c r="B32" s="7" t="inlineStr">
        <is>
          <t>Void Rift Edge</t>
        </is>
      </c>
      <c r="C32" s="7" t="inlineStr">
        <is>
          <t>Training</t>
        </is>
      </c>
      <c r="D32" s="8" t="n">
        <v>2.2</v>
      </c>
      <c r="E32" s="7" t="inlineStr">
        <is>
          <t>VB 1</t>
        </is>
      </c>
      <c r="F32" s="32" t="n">
        <v>6</v>
      </c>
      <c r="G32" s="16" t="n">
        <v>500000</v>
      </c>
      <c r="H32" s="31">
        <f>INDEX($C$4:$C$12,F32)</f>
        <v/>
      </c>
      <c r="I32" s="33">
        <f>IFERROR(G32/H32,0)</f>
        <v/>
      </c>
      <c r="J32" s="31">
        <f>IF(G32&gt;0,ROUND(H32*Inputs!$B$19,-2),0)</f>
        <v/>
      </c>
      <c r="K32" s="7">
        <f>IF(G32=0,"—",IF(AND(I32&gt;=0.1,I32&lt;=0.15),"OK","Retune"))</f>
        <v/>
      </c>
    </row>
    <row r="33">
      <c r="A33" s="7" t="inlineStr">
        <is>
          <t>16</t>
        </is>
      </c>
      <c r="B33" s="7" t="inlineStr">
        <is>
          <t>Starlight Observatory</t>
        </is>
      </c>
      <c r="C33" s="7" t="inlineStr">
        <is>
          <t>Meditation</t>
        </is>
      </c>
      <c r="D33" s="8" t="n">
        <v>2.3</v>
      </c>
      <c r="E33" s="7" t="inlineStr">
        <is>
          <t>VB 4</t>
        </is>
      </c>
      <c r="F33" s="32" t="n">
        <v>6</v>
      </c>
      <c r="G33" s="16" t="n">
        <v>590000</v>
      </c>
      <c r="H33" s="31">
        <f>INDEX($C$4:$C$12,F33)</f>
        <v/>
      </c>
      <c r="I33" s="33">
        <f>IFERROR(G33/H33,0)</f>
        <v/>
      </c>
      <c r="J33" s="31">
        <f>IF(G33&gt;0,ROUND(H33*Inputs!$B$19,-2),0)</f>
        <v/>
      </c>
      <c r="K33" s="7">
        <f>IF(G33=0,"—",IF(AND(I33&gt;=0.1,I33&lt;=0.15),"OK","Retune"))</f>
        <v/>
      </c>
    </row>
    <row r="34">
      <c r="A34" s="7" t="inlineStr">
        <is>
          <t>17</t>
        </is>
      </c>
      <c r="B34" s="7" t="inlineStr">
        <is>
          <t>Demon-Slaying Wall</t>
        </is>
      </c>
      <c r="C34" s="7" t="inlineStr">
        <is>
          <t>Training</t>
        </is>
      </c>
      <c r="D34" s="8" t="n">
        <v>2.45</v>
      </c>
      <c r="E34" s="7" t="inlineStr">
        <is>
          <t>VB 7</t>
        </is>
      </c>
      <c r="F34" s="32" t="n">
        <v>6</v>
      </c>
      <c r="G34" s="16" t="n">
        <v>690000</v>
      </c>
      <c r="H34" s="31">
        <f>INDEX($C$4:$C$12,F34)</f>
        <v/>
      </c>
      <c r="I34" s="33">
        <f>IFERROR(G34/H34,0)</f>
        <v/>
      </c>
      <c r="J34" s="31">
        <f>IF(G34&gt;0,ROUND(H34*Inputs!$B$19,-2),0)</f>
        <v/>
      </c>
      <c r="K34" s="7">
        <f>IF(G34=0,"—",IF(AND(I34&gt;=0.1,I34&lt;=0.15),"OK","Retune"))</f>
        <v/>
      </c>
    </row>
    <row r="35">
      <c r="A35" s="7" t="inlineStr">
        <is>
          <t>18</t>
        </is>
      </c>
      <c r="B35" s="7" t="inlineStr">
        <is>
          <t>Sword Intent Cliff</t>
        </is>
      </c>
      <c r="C35" s="7" t="inlineStr">
        <is>
          <t>Meditation</t>
        </is>
      </c>
      <c r="D35" s="8" t="n">
        <v>2.6</v>
      </c>
      <c r="E35" s="7" t="inlineStr">
        <is>
          <t>MA 1</t>
        </is>
      </c>
      <c r="F35" s="32" t="n">
        <v>7</v>
      </c>
      <c r="G35" s="16" t="n">
        <v>3500000</v>
      </c>
      <c r="H35" s="31">
        <f>INDEX($C$4:$C$12,F35)</f>
        <v/>
      </c>
      <c r="I35" s="33">
        <f>IFERROR(G35/H35,0)</f>
        <v/>
      </c>
      <c r="J35" s="31">
        <f>IF(G35&gt;0,ROUND(H35*Inputs!$B$19,-2),0)</f>
        <v/>
      </c>
      <c r="K35" s="7">
        <f>IF(G35=0,"—",IF(AND(I35&gt;=0.1,I35&lt;=0.15),"OK","Retune"))</f>
        <v/>
      </c>
    </row>
    <row r="36">
      <c r="A36" s="7" t="inlineStr">
        <is>
          <t>19</t>
        </is>
      </c>
      <c r="B36" s="7" t="inlineStr">
        <is>
          <t>World Tree Roots</t>
        </is>
      </c>
      <c r="C36" s="7" t="inlineStr">
        <is>
          <t>Training</t>
        </is>
      </c>
      <c r="D36" s="8" t="n">
        <v>2.7</v>
      </c>
      <c r="E36" s="7" t="inlineStr">
        <is>
          <t>MA 4</t>
        </is>
      </c>
      <c r="F36" s="32" t="n">
        <v>7</v>
      </c>
      <c r="G36" s="16" t="n">
        <v>4100000</v>
      </c>
      <c r="H36" s="31">
        <f>INDEX($C$4:$C$12,F36)</f>
        <v/>
      </c>
      <c r="I36" s="33">
        <f>IFERROR(G36/H36,0)</f>
        <v/>
      </c>
      <c r="J36" s="31">
        <f>IF(G36&gt;0,ROUND(H36*Inputs!$B$19,-2),0)</f>
        <v/>
      </c>
      <c r="K36" s="7">
        <f>IF(G36=0,"—",IF(AND(I36&gt;=0.1,I36&lt;=0.15),"OK","Retune"))</f>
        <v/>
      </c>
    </row>
    <row r="37">
      <c r="A37" s="7" t="inlineStr">
        <is>
          <t>20</t>
        </is>
      </c>
      <c r="B37" s="7" t="inlineStr">
        <is>
          <t>Dragon's Breath Chasm</t>
        </is>
      </c>
      <c r="C37" s="7" t="inlineStr">
        <is>
          <t>Meditation</t>
        </is>
      </c>
      <c r="D37" s="8" t="n">
        <v>2.85</v>
      </c>
      <c r="E37" s="7" t="inlineStr">
        <is>
          <t>MA 7</t>
        </is>
      </c>
      <c r="F37" s="32" t="n">
        <v>7</v>
      </c>
      <c r="G37" s="16" t="n">
        <v>4800000</v>
      </c>
      <c r="H37" s="31">
        <f>INDEX($C$4:$C$12,F37)</f>
        <v/>
      </c>
      <c r="I37" s="33">
        <f>IFERROR(G37/H37,0)</f>
        <v/>
      </c>
      <c r="J37" s="31">
        <f>IF(G37&gt;0,ROUND(H37*Inputs!$B$19,-2),0)</f>
        <v/>
      </c>
      <c r="K37" s="7">
        <f>IF(G37=0,"—",IF(AND(I37&gt;=0.1,I37&lt;=0.15),"OK","Retune"))</f>
        <v/>
      </c>
    </row>
    <row r="38">
      <c r="A38" s="7" t="inlineStr">
        <is>
          <t>21</t>
        </is>
      </c>
      <c r="B38" s="7" t="inlineStr">
        <is>
          <t>Celestial Palace Courtyard</t>
        </is>
      </c>
      <c r="C38" s="7" t="inlineStr">
        <is>
          <t>Training</t>
        </is>
      </c>
      <c r="D38" s="8" t="n">
        <v>3</v>
      </c>
      <c r="E38" s="7" t="inlineStr">
        <is>
          <t>GA 1</t>
        </is>
      </c>
      <c r="F38" s="32" t="n">
        <v>8</v>
      </c>
      <c r="G38" s="16" t="n">
        <v>25000000</v>
      </c>
      <c r="H38" s="31">
        <f>INDEX($C$4:$C$12,F38)</f>
        <v/>
      </c>
      <c r="I38" s="33">
        <f>IFERROR(G38/H38,0)</f>
        <v/>
      </c>
      <c r="J38" s="31">
        <f>IF(G38&gt;0,ROUND(H38*Inputs!$B$19,-2),0)</f>
        <v/>
      </c>
      <c r="K38" s="7">
        <f>IF(G38=0,"—",IF(AND(I38&gt;=0.1,I38&lt;=0.15),"OK","Retune"))</f>
        <v/>
      </c>
    </row>
    <row r="39">
      <c r="A39" s="7" t="inlineStr">
        <is>
          <t>22</t>
        </is>
      </c>
      <c r="B39" s="7" t="inlineStr">
        <is>
          <t>Phoenix Flame Altar</t>
        </is>
      </c>
      <c r="C39" s="7" t="inlineStr">
        <is>
          <t>Meditation</t>
        </is>
      </c>
      <c r="D39" s="8" t="n">
        <v>3.2</v>
      </c>
      <c r="E39" s="7" t="inlineStr">
        <is>
          <t>GA 2</t>
        </is>
      </c>
      <c r="F39" s="32" t="n">
        <v>8</v>
      </c>
      <c r="G39" s="16" t="n">
        <v>29000000</v>
      </c>
      <c r="H39" s="31">
        <f>INDEX($C$4:$C$12,F39)</f>
        <v/>
      </c>
      <c r="I39" s="33">
        <f>IFERROR(G39/H39,0)</f>
        <v/>
      </c>
      <c r="J39" s="31">
        <f>IF(G39&gt;0,ROUND(H39*Inputs!$B$19,-2),0)</f>
        <v/>
      </c>
      <c r="K39" s="7">
        <f>IF(G39=0,"—",IF(AND(I39&gt;=0.1,I39&lt;=0.15),"OK","Retune"))</f>
        <v/>
      </c>
    </row>
    <row r="40">
      <c r="A40" s="7" t="inlineStr">
        <is>
          <t>23</t>
        </is>
      </c>
      <c r="B40" s="7" t="inlineStr">
        <is>
          <t>Tribulation Lightning Field</t>
        </is>
      </c>
      <c r="C40" s="7" t="inlineStr">
        <is>
          <t>Training</t>
        </is>
      </c>
      <c r="D40" s="8" t="n">
        <v>3.35</v>
      </c>
      <c r="E40" s="7" t="inlineStr">
        <is>
          <t>GA 4</t>
        </is>
      </c>
      <c r="F40" s="32" t="n">
        <v>8</v>
      </c>
      <c r="G40" s="16" t="n">
        <v>34000000</v>
      </c>
      <c r="H40" s="31">
        <f>INDEX($C$4:$C$12,F40)</f>
        <v/>
      </c>
      <c r="I40" s="33">
        <f>IFERROR(G40/H40,0)</f>
        <v/>
      </c>
      <c r="J40" s="31">
        <f>IF(G40&gt;0,ROUND(H40*Inputs!$B$19,-2),0)</f>
        <v/>
      </c>
      <c r="K40" s="7">
        <f>IF(G40=0,"—",IF(AND(I40&gt;=0.1,I40&lt;=0.15),"OK","Retune"))</f>
        <v/>
      </c>
    </row>
    <row r="41">
      <c r="A41" s="7" t="inlineStr">
        <is>
          <t>24</t>
        </is>
      </c>
      <c r="B41" s="7" t="inlineStr">
        <is>
          <t>Nine Heavens Terrace</t>
        </is>
      </c>
      <c r="C41" s="7" t="inlineStr">
        <is>
          <t>Meditation</t>
        </is>
      </c>
      <c r="D41" s="8" t="n">
        <v>3.6</v>
      </c>
      <c r="E41" s="7" t="inlineStr">
        <is>
          <t>GA 5</t>
        </is>
      </c>
      <c r="F41" s="32" t="n">
        <v>9</v>
      </c>
      <c r="G41" s="16" t="n">
        <v>170000000</v>
      </c>
      <c r="H41" s="31">
        <f>INDEX($C$4:$C$12,F41)</f>
        <v/>
      </c>
      <c r="I41" s="33">
        <f>IFERROR(G41/H41,0)</f>
        <v/>
      </c>
      <c r="J41" s="31">
        <f>IF(G41&gt;0,ROUND(H41*Inputs!$B$19,-2),0)</f>
        <v/>
      </c>
      <c r="K41" s="7">
        <f>IF(G41=0,"—",IF(AND(I41&gt;=0.1,I41&lt;=0.15),"OK","Retune"))</f>
        <v/>
      </c>
    </row>
    <row r="42">
      <c r="A42" s="7" t="inlineStr">
        <is>
          <t>25</t>
        </is>
      </c>
      <c r="B42" s="7" t="inlineStr">
        <is>
          <t>Chaos Crucible</t>
        </is>
      </c>
      <c r="C42" s="7" t="inlineStr">
        <is>
          <t>Training</t>
        </is>
      </c>
      <c r="D42" s="8" t="n">
        <v>3.8</v>
      </c>
      <c r="E42" s="7" t="inlineStr">
        <is>
          <t>GA 6</t>
        </is>
      </c>
      <c r="F42" s="32" t="n">
        <v>9</v>
      </c>
      <c r="G42" s="16" t="n">
        <v>200000000</v>
      </c>
      <c r="H42" s="31">
        <f>INDEX($C$4:$C$12,F42)</f>
        <v/>
      </c>
      <c r="I42" s="33">
        <f>IFERROR(G42/H42,0)</f>
        <v/>
      </c>
      <c r="J42" s="31">
        <f>IF(G42&gt;0,ROUND(H42*Inputs!$B$19,-2),0)</f>
        <v/>
      </c>
      <c r="K42" s="7">
        <f>IF(G42=0,"—",IF(AND(I42&gt;=0.1,I42&lt;=0.15),"OK","Retune"))</f>
        <v/>
      </c>
    </row>
    <row r="43">
      <c r="A43" s="7" t="inlineStr">
        <is>
          <t>26</t>
        </is>
      </c>
      <c r="B43" s="7" t="inlineStr">
        <is>
          <t>Summit of Heaven</t>
        </is>
      </c>
      <c r="C43" s="7" t="inlineStr">
        <is>
          <t>Both</t>
        </is>
      </c>
      <c r="D43" s="8" t="n">
        <v>4.5</v>
      </c>
      <c r="E43" s="7" t="inlineStr">
        <is>
          <t>GA 8</t>
        </is>
      </c>
      <c r="F43" s="32" t="n">
        <v>9</v>
      </c>
      <c r="G43" s="16" t="n">
        <v>250000000</v>
      </c>
      <c r="H43" s="31">
        <f>INDEX($C$4:$C$12,F43)</f>
        <v/>
      </c>
      <c r="I43" s="33">
        <f>IFERROR(G43/H43,0)</f>
        <v/>
      </c>
      <c r="J43" s="31">
        <f>IF(G43&gt;0,ROUND(H43*Inputs!$B$19,-2),0)</f>
        <v/>
      </c>
      <c r="K43" s="7">
        <f>IF(G43=0,"—",IF(AND(I43&gt;=0.1,I43&lt;=0.15),"OK","Retune"))</f>
        <v/>
      </c>
    </row>
    <row r="44"/>
    <row r="45">
      <c r="A45" s="7" t="inlineStr">
        <is>
          <t>Upkeep (docs) is from content/15-Cultivation-Grounds, set to 10% / 12% / 14–15% of tier income for the 1st/2nd/3rd ground of each tier. Tier is mapped from the ground's minimum realm.</t>
        </is>
      </c>
    </row>
  </sheetData>
  <conditionalFormatting sqref="K16:K43">
    <cfRule type="expression" priority="1" dxfId="0">
      <formula>ISNUMBER(SEARCH("OK",K16))</formula>
    </cfRule>
    <cfRule type="expression" priority="2" dxfId="1">
      <formula>OR(ISNUMBER(SEARCH("Retune",K16)),ISNUMBER(SEARCH("Check",K16)))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2" customWidth="1" min="5" max="5"/>
    <col width="18" customWidth="1" min="6" max="6"/>
    <col width="18" customWidth="1" min="7" max="7"/>
    <col width="22" customWidth="1" min="8" max="8"/>
  </cols>
  <sheetData>
    <row r="1">
      <c r="A1" s="5" t="inlineStr">
        <is>
          <t>Checks</t>
        </is>
      </c>
    </row>
    <row r="2"/>
    <row r="3">
      <c r="A3" s="6" t="inlineStr">
        <is>
          <t>1. Qi realm pacing vs registry targets (first life)</t>
        </is>
      </c>
    </row>
    <row r="4">
      <c r="A4" s="15" t="inlineStr">
        <is>
          <t>Realm</t>
        </is>
      </c>
      <c r="B4" s="15" t="inlineStr">
        <is>
          <t>Target reach day</t>
        </is>
      </c>
      <c r="C4" s="15" t="inlineStr">
        <is>
          <t>Model reach day</t>
        </is>
      </c>
      <c r="D4" s="15" t="inlineStr">
        <is>
          <t>Model ÷ target − 1</t>
        </is>
      </c>
      <c r="E4" s="15" t="inlineStr">
        <is>
          <t>Status</t>
        </is>
      </c>
      <c r="F4" s="15" t="inlineStr">
        <is>
          <t>Target realm length (days)</t>
        </is>
      </c>
      <c r="G4" s="15" t="inlineStr">
        <is>
          <t>Model realm length (days)</t>
        </is>
      </c>
      <c r="H4" s="15" t="inlineStr">
        <is>
          <t>Suggested BASE to hit target</t>
        </is>
      </c>
    </row>
    <row r="5">
      <c r="A5" s="19">
        <f>Inputs!C23</f>
        <v/>
      </c>
      <c r="B5" s="26">
        <f>Inputs!G23</f>
        <v/>
      </c>
      <c r="C5" s="21">
        <f>INDEX(Qi_Pacing!$N$4:$N$93,MATCH(A5&amp;" 1",Qi_Pacing!$A$4:$A$93,0))</f>
        <v/>
      </c>
      <c r="D5" s="13">
        <f>IF(B5&lt;0.5,"",C5/B5-1)</f>
        <v/>
      </c>
      <c r="E5" s="7">
        <f>IF(B5&lt;0.5,"(tutorial)",IF(ABS(D5)&lt;=0.2,"OK","Retune"))</f>
        <v/>
      </c>
      <c r="F5" s="21">
        <f>B6-B5</f>
        <v/>
      </c>
      <c r="G5" s="21">
        <f>C6-C5</f>
        <v/>
      </c>
      <c r="H5" s="23">
        <f>IF(G5&lt;=0,"",Inputs!E23*F5/G5)</f>
        <v/>
      </c>
    </row>
    <row r="6">
      <c r="A6" s="19">
        <f>Inputs!C24</f>
        <v/>
      </c>
      <c r="B6" s="26">
        <f>Inputs!G24</f>
        <v/>
      </c>
      <c r="C6" s="21">
        <f>INDEX(Qi_Pacing!$N$4:$N$93,MATCH(A6&amp;" 1",Qi_Pacing!$A$4:$A$93,0))</f>
        <v/>
      </c>
      <c r="D6" s="13">
        <f>IF(B6&lt;0.5,"",C6/B6-1)</f>
        <v/>
      </c>
      <c r="E6" s="7">
        <f>IF(B6&lt;0.5,"(tutorial)",IF(ABS(D6)&lt;=0.2,"OK","Retune"))</f>
        <v/>
      </c>
      <c r="F6" s="21">
        <f>B7-B6</f>
        <v/>
      </c>
      <c r="G6" s="21">
        <f>C7-C6</f>
        <v/>
      </c>
      <c r="H6" s="23">
        <f>IF(G6&lt;=0,"",Inputs!E24*F6/G6)</f>
        <v/>
      </c>
    </row>
    <row r="7">
      <c r="A7" s="19">
        <f>Inputs!C25</f>
        <v/>
      </c>
      <c r="B7" s="26">
        <f>Inputs!G25</f>
        <v/>
      </c>
      <c r="C7" s="21">
        <f>INDEX(Qi_Pacing!$N$4:$N$93,MATCH(A7&amp;" 1",Qi_Pacing!$A$4:$A$93,0))</f>
        <v/>
      </c>
      <c r="D7" s="13">
        <f>IF(B7&lt;0.5,"",C7/B7-1)</f>
        <v/>
      </c>
      <c r="E7" s="7">
        <f>IF(B7&lt;0.5,"(tutorial)",IF(ABS(D7)&lt;=0.2,"OK","Retune"))</f>
        <v/>
      </c>
      <c r="F7" s="21">
        <f>B8-B7</f>
        <v/>
      </c>
      <c r="G7" s="21">
        <f>C8-C7</f>
        <v/>
      </c>
      <c r="H7" s="23">
        <f>IF(G7&lt;=0,"",Inputs!E25*F7/G7)</f>
        <v/>
      </c>
    </row>
    <row r="8">
      <c r="A8" s="19">
        <f>Inputs!C26</f>
        <v/>
      </c>
      <c r="B8" s="26">
        <f>Inputs!G26</f>
        <v/>
      </c>
      <c r="C8" s="21">
        <f>INDEX(Qi_Pacing!$N$4:$N$93,MATCH(A8&amp;" 1",Qi_Pacing!$A$4:$A$93,0))</f>
        <v/>
      </c>
      <c r="D8" s="13">
        <f>IF(B8&lt;0.5,"",C8/B8-1)</f>
        <v/>
      </c>
      <c r="E8" s="7">
        <f>IF(B8&lt;0.5,"(tutorial)",IF(ABS(D8)&lt;=0.2,"OK","Retune"))</f>
        <v/>
      </c>
      <c r="F8" s="21">
        <f>B9-B8</f>
        <v/>
      </c>
      <c r="G8" s="21">
        <f>C9-C8</f>
        <v/>
      </c>
      <c r="H8" s="23">
        <f>IF(G8&lt;=0,"",Inputs!E26*F8/G8)</f>
        <v/>
      </c>
    </row>
    <row r="9">
      <c r="A9" s="19">
        <f>Inputs!C27</f>
        <v/>
      </c>
      <c r="B9" s="26">
        <f>Inputs!G27</f>
        <v/>
      </c>
      <c r="C9" s="21">
        <f>INDEX(Qi_Pacing!$N$4:$N$93,MATCH(A9&amp;" 1",Qi_Pacing!$A$4:$A$93,0))</f>
        <v/>
      </c>
      <c r="D9" s="13">
        <f>IF(B9&lt;0.5,"",C9/B9-1)</f>
        <v/>
      </c>
      <c r="E9" s="7">
        <f>IF(B9&lt;0.5,"(tutorial)",IF(ABS(D9)&lt;=0.2,"OK","Retune"))</f>
        <v/>
      </c>
      <c r="F9" s="21">
        <f>B10-B9</f>
        <v/>
      </c>
      <c r="G9" s="21">
        <f>C10-C9</f>
        <v/>
      </c>
      <c r="H9" s="23">
        <f>IF(G9&lt;=0,"",Inputs!E27*F9/G9)</f>
        <v/>
      </c>
    </row>
    <row r="10">
      <c r="A10" s="19">
        <f>Inputs!C28</f>
        <v/>
      </c>
      <c r="B10" s="26">
        <f>Inputs!G28</f>
        <v/>
      </c>
      <c r="C10" s="21">
        <f>INDEX(Qi_Pacing!$N$4:$N$93,MATCH(A10&amp;" 1",Qi_Pacing!$A$4:$A$93,0))</f>
        <v/>
      </c>
      <c r="D10" s="13">
        <f>IF(B10&lt;0.5,"",C10/B10-1)</f>
        <v/>
      </c>
      <c r="E10" s="7">
        <f>IF(B10&lt;0.5,"(tutorial)",IF(ABS(D10)&lt;=0.2,"OK","Retune"))</f>
        <v/>
      </c>
      <c r="F10" s="21">
        <f>B11-B10</f>
        <v/>
      </c>
      <c r="G10" s="21">
        <f>C11-C10</f>
        <v/>
      </c>
      <c r="H10" s="23">
        <f>IF(G10&lt;=0,"",Inputs!E28*F10/G10)</f>
        <v/>
      </c>
    </row>
    <row r="11">
      <c r="A11" s="19">
        <f>Inputs!C29</f>
        <v/>
      </c>
      <c r="B11" s="26">
        <f>Inputs!G29</f>
        <v/>
      </c>
      <c r="C11" s="21">
        <f>INDEX(Qi_Pacing!$N$4:$N$93,MATCH(A11&amp;" 1",Qi_Pacing!$A$4:$A$93,0))</f>
        <v/>
      </c>
      <c r="D11" s="13">
        <f>IF(B11&lt;0.5,"",C11/B11-1)</f>
        <v/>
      </c>
      <c r="E11" s="7">
        <f>IF(B11&lt;0.5,"(tutorial)",IF(ABS(D11)&lt;=0.2,"OK","Retune"))</f>
        <v/>
      </c>
      <c r="F11" s="21">
        <f>B12-B11</f>
        <v/>
      </c>
      <c r="G11" s="21">
        <f>C12-C11</f>
        <v/>
      </c>
      <c r="H11" s="23">
        <f>IF(G11&lt;=0,"",Inputs!E29*F11/G11)</f>
        <v/>
      </c>
    </row>
    <row r="12">
      <c r="A12" s="19">
        <f>Inputs!C30</f>
        <v/>
      </c>
      <c r="B12" s="26">
        <f>Inputs!G30</f>
        <v/>
      </c>
      <c r="C12" s="21">
        <f>INDEX(Qi_Pacing!$N$4:$N$93,MATCH(A12&amp;" 1",Qi_Pacing!$A$4:$A$93,0))</f>
        <v/>
      </c>
      <c r="D12" s="13">
        <f>IF(B12&lt;0.5,"",C12/B12-1)</f>
        <v/>
      </c>
      <c r="E12" s="7">
        <f>IF(B12&lt;0.5,"(tutorial)",IF(ABS(D12)&lt;=0.2,"OK","Retune"))</f>
        <v/>
      </c>
      <c r="F12" s="21">
        <f>B13-B12</f>
        <v/>
      </c>
      <c r="G12" s="21">
        <f>C13-C12</f>
        <v/>
      </c>
      <c r="H12" s="23">
        <f>IF(G12&lt;=0,"",Inputs!E30*F12/G12)</f>
        <v/>
      </c>
    </row>
    <row r="13">
      <c r="A13" s="19">
        <f>Inputs!C31</f>
        <v/>
      </c>
      <c r="B13" s="26">
        <f>Inputs!G31</f>
        <v/>
      </c>
      <c r="C13" s="21">
        <f>INDEX(Qi_Pacing!$N$4:$N$93,MATCH(A13&amp;" 1",Qi_Pacing!$A$4:$A$93,0))</f>
        <v/>
      </c>
      <c r="D13" s="13">
        <f>IF(B13&lt;0.5,"",C13/B13-1)</f>
        <v/>
      </c>
      <c r="E13" s="7">
        <f>IF(B13&lt;0.5,"(tutorial)",IF(ABS(D13)&lt;=0.2,"OK","Retune"))</f>
        <v/>
      </c>
      <c r="F13" s="21">
        <f>B14-B13</f>
        <v/>
      </c>
      <c r="G13" s="21">
        <f>C14-C13</f>
        <v/>
      </c>
      <c r="H13" s="23">
        <f>IF(G13&lt;=0,"",Inputs!E31*F13/G13)</f>
        <v/>
      </c>
    </row>
    <row r="14">
      <c r="A14" s="19">
        <f>Inputs!C32</f>
        <v/>
      </c>
      <c r="B14" s="26">
        <f>Inputs!G32</f>
        <v/>
      </c>
      <c r="C14" s="21">
        <f>INDEX(Qi_Pacing!$N$4:$N$93,MATCH(A14&amp;" 1",Qi_Pacing!$A$4:$A$93,0))</f>
        <v/>
      </c>
      <c r="D14" s="13">
        <f>IF(B14&lt;0.5,"",C14/B14-1)</f>
        <v/>
      </c>
      <c r="E14" s="7">
        <f>IF(B14&lt;0.5,"(tutorial)",IF(ABS(D14)&lt;=0.2,"OK","Retune"))</f>
        <v/>
      </c>
      <c r="F14" s="21">
        <f>B15-B14</f>
        <v/>
      </c>
      <c r="G14" s="21">
        <f>C15-C14</f>
        <v/>
      </c>
      <c r="H14" s="23">
        <f>IF(G14&lt;=0,"",Inputs!E32*F14/G14)</f>
        <v/>
      </c>
    </row>
    <row r="15">
      <c r="A15" s="19">
        <f>Inputs!C33</f>
        <v/>
      </c>
      <c r="B15" s="34">
        <f>Inputs!G33</f>
        <v/>
      </c>
      <c r="C15" s="21">
        <f>INDEX(Qi_Pacing!$M$4:$M$93,MATCH("GA 9",Qi_Pacing!$A$4:$A$93,0))</f>
        <v/>
      </c>
      <c r="D15" s="13">
        <f>C15/B15-1</f>
        <v/>
      </c>
      <c r="E15" s="7">
        <f>IF(ABS(D15)&lt;=0.2,"OK","Retune")</f>
        <v/>
      </c>
    </row>
    <row r="16">
      <c r="A16" s="7" t="inlineStr">
        <is>
          <t>Suggested BASE scales a realm's length to its target (realm time is proportional to BASE). Apply top-down: changing one realm shifts every later reach day.</t>
        </is>
      </c>
    </row>
    <row r="17"/>
    <row r="18">
      <c r="A18" s="6" t="inlineStr">
        <is>
          <t>2. Body stage pacing vs targets (content/02-Body)</t>
        </is>
      </c>
    </row>
    <row r="19">
      <c r="A19" s="15" t="inlineStr">
        <is>
          <t>Stage</t>
        </is>
      </c>
      <c r="B19" s="15" t="inlineStr">
        <is>
          <t>Target completion day</t>
        </is>
      </c>
      <c r="C19" s="15" t="inlineStr">
        <is>
          <t>Model completion day</t>
        </is>
      </c>
      <c r="D19" s="15" t="inlineStr">
        <is>
          <t>Model ÷ target − 1</t>
        </is>
      </c>
      <c r="E19" s="15" t="inlineStr">
        <is>
          <t>Status</t>
        </is>
      </c>
      <c r="F19" s="15" t="inlineStr">
        <is>
          <t>Suggested BODY_BASE</t>
        </is>
      </c>
    </row>
    <row r="20">
      <c r="A20" s="19">
        <f>Inputs!B38</f>
        <v/>
      </c>
      <c r="B20" s="34">
        <f>Inputs!E38</f>
        <v/>
      </c>
      <c r="C20" s="25">
        <f>INDEX(Body_Pacing!$M$4:$M$66,MATCH(A20&amp;" 9",Body_Pacing!$A$4:$A$66,0))</f>
        <v/>
      </c>
      <c r="D20" s="13">
        <f>C20/B20-1</f>
        <v/>
      </c>
      <c r="E20" s="7">
        <f>IF(ABS(D20)&lt;=0.2,"OK","Retune")</f>
        <v/>
      </c>
      <c r="F20" s="23">
        <f>IFERROR(Inputs!C38*(B20-0)/(C20-0),"")</f>
        <v/>
      </c>
    </row>
    <row r="21">
      <c r="A21" s="19">
        <f>Inputs!B39</f>
        <v/>
      </c>
      <c r="B21" s="34">
        <f>Inputs!E39</f>
        <v/>
      </c>
      <c r="C21" s="25">
        <f>INDEX(Body_Pacing!$M$4:$M$66,MATCH(A21&amp;" 9",Body_Pacing!$A$4:$A$66,0))</f>
        <v/>
      </c>
      <c r="D21" s="13">
        <f>C21/B21-1</f>
        <v/>
      </c>
      <c r="E21" s="7">
        <f>IF(ABS(D21)&lt;=0.2,"OK","Retune")</f>
        <v/>
      </c>
      <c r="F21" s="23">
        <f>IFERROR(Inputs!C39*(B21-B20)/(C21-C20),"")</f>
        <v/>
      </c>
    </row>
    <row r="22">
      <c r="A22" s="19">
        <f>Inputs!B40</f>
        <v/>
      </c>
      <c r="B22" s="34">
        <f>Inputs!E40</f>
        <v/>
      </c>
      <c r="C22" s="25">
        <f>INDEX(Body_Pacing!$M$4:$M$66,MATCH(A22&amp;" 9",Body_Pacing!$A$4:$A$66,0))</f>
        <v/>
      </c>
      <c r="D22" s="13">
        <f>C22/B22-1</f>
        <v/>
      </c>
      <c r="E22" s="7">
        <f>IF(ABS(D22)&lt;=0.2,"OK","Retune")</f>
        <v/>
      </c>
      <c r="F22" s="23">
        <f>IFERROR(Inputs!C40*(B22-B21)/(C22-C21),"")</f>
        <v/>
      </c>
    </row>
    <row r="23">
      <c r="A23" s="19">
        <f>Inputs!B41</f>
        <v/>
      </c>
      <c r="B23" s="34">
        <f>Inputs!E41</f>
        <v/>
      </c>
      <c r="C23" s="25">
        <f>INDEX(Body_Pacing!$M$4:$M$66,MATCH(A23&amp;" 9",Body_Pacing!$A$4:$A$66,0))</f>
        <v/>
      </c>
      <c r="D23" s="13">
        <f>C23/B23-1</f>
        <v/>
      </c>
      <c r="E23" s="7">
        <f>IF(ABS(D23)&lt;=0.2,"OK","Retune")</f>
        <v/>
      </c>
      <c r="F23" s="23">
        <f>IFERROR(Inputs!C41*(B23-B22)/(C23-C22),"")</f>
        <v/>
      </c>
    </row>
    <row r="24">
      <c r="A24" s="19">
        <f>Inputs!B42</f>
        <v/>
      </c>
      <c r="B24" s="34">
        <f>Inputs!E42</f>
        <v/>
      </c>
      <c r="C24" s="25">
        <f>INDEX(Body_Pacing!$M$4:$M$66,MATCH(A24&amp;" 9",Body_Pacing!$A$4:$A$66,0))</f>
        <v/>
      </c>
      <c r="D24" s="13">
        <f>C24/B24-1</f>
        <v/>
      </c>
      <c r="E24" s="7">
        <f>IF(ABS(D24)&lt;=0.2,"OK","Retune")</f>
        <v/>
      </c>
      <c r="F24" s="23">
        <f>IFERROR(Inputs!C42*(B24-B23)/(C24-C23),"")</f>
        <v/>
      </c>
    </row>
    <row r="25">
      <c r="A25" s="19">
        <f>Inputs!B43</f>
        <v/>
      </c>
      <c r="B25" s="34">
        <f>Inputs!E43</f>
        <v/>
      </c>
      <c r="C25" s="25">
        <f>INDEX(Body_Pacing!$M$4:$M$66,MATCH(A25&amp;" 9",Body_Pacing!$A$4:$A$66,0))</f>
        <v/>
      </c>
      <c r="D25" s="13">
        <f>C25/B25-1</f>
        <v/>
      </c>
      <c r="E25" s="7">
        <f>IF(ABS(D25)&lt;=0.2,"OK","Retune")</f>
        <v/>
      </c>
      <c r="F25" s="23">
        <f>IFERROR(Inputs!C43*(B25-B24)/(C25-C24),"")</f>
        <v/>
      </c>
    </row>
    <row r="26">
      <c r="A26" s="19">
        <f>Inputs!B44</f>
        <v/>
      </c>
      <c r="B26" s="34">
        <f>Inputs!E44</f>
        <v/>
      </c>
      <c r="C26" s="25">
        <f>INDEX(Body_Pacing!$M$4:$M$66,MATCH(A26&amp;" 9",Body_Pacing!$A$4:$A$66,0))</f>
        <v/>
      </c>
      <c r="D26" s="13">
        <f>C26/B26-1</f>
        <v/>
      </c>
      <c r="E26" s="7">
        <f>IF(ABS(D26)&lt;=0.2,"OK","Retune")</f>
        <v/>
      </c>
      <c r="F26" s="23">
        <f>IFERROR(Inputs!C44*(B26-B25)/(C26-C25),"")</f>
        <v/>
      </c>
    </row>
    <row r="27"/>
    <row r="28">
      <c r="A28" s="6" t="inlineStr">
        <is>
          <t>3. EXT sanity (computed multipliers vs old doc assumption, MO–NS)</t>
        </is>
      </c>
    </row>
    <row r="29">
      <c r="A29" s="15" t="inlineStr">
        <is>
          <t>Realm</t>
        </is>
      </c>
      <c r="B29" s="15" t="inlineStr">
        <is>
          <t>Old doc EXT</t>
        </is>
      </c>
      <c r="C29" s="15" t="inlineStr">
        <is>
          <t>Computed EXT</t>
        </is>
      </c>
      <c r="D29" s="15" t="inlineStr">
        <is>
          <t>Ratio</t>
        </is>
      </c>
      <c r="E29" s="15" t="inlineStr">
        <is>
          <t>Status</t>
        </is>
      </c>
    </row>
    <row r="30">
      <c r="A30" s="19">
        <f>EXT_Budget!A4</f>
        <v/>
      </c>
      <c r="B30" s="26">
        <f>EXT_Budget!I4</f>
        <v/>
      </c>
      <c r="C30" s="26">
        <f>EXT_Budget!H4</f>
        <v/>
      </c>
      <c r="D30" s="21">
        <f>C30/B30</f>
        <v/>
      </c>
      <c r="E30" s="7">
        <f>IF(AND(D30&gt;=0.8,D30&lt;=1.25),"OK","Check")</f>
        <v/>
      </c>
    </row>
    <row r="31">
      <c r="A31" s="19">
        <f>EXT_Budget!A5</f>
        <v/>
      </c>
      <c r="B31" s="26">
        <f>EXT_Budget!I5</f>
        <v/>
      </c>
      <c r="C31" s="26">
        <f>EXT_Budget!H5</f>
        <v/>
      </c>
      <c r="D31" s="21">
        <f>C31/B31</f>
        <v/>
      </c>
      <c r="E31" s="7">
        <f>IF(AND(D31&gt;=0.8,D31&lt;=1.25),"OK","Check")</f>
        <v/>
      </c>
    </row>
    <row r="32">
      <c r="A32" s="19">
        <f>EXT_Budget!A6</f>
        <v/>
      </c>
      <c r="B32" s="26">
        <f>EXT_Budget!I6</f>
        <v/>
      </c>
      <c r="C32" s="26">
        <f>EXT_Budget!H6</f>
        <v/>
      </c>
      <c r="D32" s="21">
        <f>C32/B32</f>
        <v/>
      </c>
      <c r="E32" s="7">
        <f>IF(AND(D32&gt;=0.8,D32&lt;=1.25),"OK","Check")</f>
        <v/>
      </c>
    </row>
    <row r="33">
      <c r="A33" s="19">
        <f>EXT_Budget!A7</f>
        <v/>
      </c>
      <c r="B33" s="26">
        <f>EXT_Budget!I7</f>
        <v/>
      </c>
      <c r="C33" s="26">
        <f>EXT_Budget!H7</f>
        <v/>
      </c>
      <c r="D33" s="21">
        <f>C33/B33</f>
        <v/>
      </c>
      <c r="E33" s="7">
        <f>IF(AND(D33&gt;=0.8,D33&lt;=1.25),"OK","Check")</f>
        <v/>
      </c>
    </row>
    <row r="34">
      <c r="A34" s="19">
        <f>EXT_Budget!A8</f>
        <v/>
      </c>
      <c r="B34" s="26">
        <f>EXT_Budget!I8</f>
        <v/>
      </c>
      <c r="C34" s="26">
        <f>EXT_Budget!H8</f>
        <v/>
      </c>
      <c r="D34" s="21">
        <f>C34/B34</f>
        <v/>
      </c>
      <c r="E34" s="7">
        <f>IF(AND(D34&gt;=0.8,D34&lt;=1.25),"OK","Check")</f>
        <v/>
      </c>
    </row>
    <row r="35">
      <c r="A35" s="19">
        <f>EXT_Budget!A9</f>
        <v/>
      </c>
      <c r="B35" s="26">
        <f>EXT_Budget!I9</f>
        <v/>
      </c>
      <c r="C35" s="26">
        <f>EXT_Budget!H9</f>
        <v/>
      </c>
      <c r="D35" s="21">
        <f>C35/B35</f>
        <v/>
      </c>
      <c r="E35" s="7">
        <f>IF(AND(D35&gt;=0.8,D35&lt;=1.25),"OK","Check")</f>
        <v/>
      </c>
    </row>
    <row r="36"/>
    <row r="37">
      <c r="A37" s="6" t="inlineStr">
        <is>
          <t>4. Other checks</t>
        </is>
      </c>
    </row>
    <row r="38">
      <c r="A38" s="15" t="inlineStr">
        <is>
          <t>Check</t>
        </is>
      </c>
      <c r="B38" s="15" t="inlineStr">
        <is>
          <t>Value</t>
        </is>
      </c>
      <c r="C38" s="15" t="inlineStr">
        <is>
          <t>Target</t>
        </is>
      </c>
      <c r="D38" s="15" t="inlineStr">
        <is>
          <t>Status</t>
        </is>
      </c>
    </row>
    <row r="39">
      <c r="A39" s="7" t="inlineStr">
        <is>
          <t>Meditation hours to reach FE</t>
        </is>
      </c>
      <c r="B39" s="21">
        <f>INDEX(Qi_Pacing!$L$4:$L$93,MATCH("QS 9",Qi_Pacing!$A$4:$A$93,0))</f>
        <v/>
      </c>
      <c r="C39" s="7" t="inlineStr">
        <is>
          <t>≤ 1.0 h</t>
        </is>
      </c>
      <c r="D39" s="7">
        <f>IF(B39&lt;=1,"OK","Retune")</f>
        <v/>
      </c>
    </row>
    <row r="40">
      <c r="A40" s="7" t="inlineStr">
        <is>
          <t>Grounds with upkeep outside 10–15% of income</t>
        </is>
      </c>
      <c r="B40" s="27">
        <f>COUNTIF(Grounds_Economy!$K$16:$K$43,"Retune")</f>
        <v/>
      </c>
      <c r="C40" s="7" t="inlineStr">
        <is>
          <t>0</t>
        </is>
      </c>
      <c r="D40" s="7">
        <f>IF(B40=0,"OK","Retune")</f>
        <v/>
      </c>
    </row>
    <row r="41">
      <c r="A41" s="7" t="inlineStr">
        <is>
          <t>Karma total after life 2 (Rebirth planner)</t>
        </is>
      </c>
      <c r="B41" s="27">
        <f>Rebirth!P31</f>
        <v/>
      </c>
      <c r="C41" s="7" t="inlineStr">
        <is>
          <t>≥ 10</t>
        </is>
      </c>
      <c r="D41" s="7">
        <f>IF(B41&gt;=10,"OK","Check")</f>
        <v/>
      </c>
    </row>
    <row r="42">
      <c r="A42" s="7" t="inlineStr">
        <is>
          <t>Dao Marks if ascending after life 6</t>
        </is>
      </c>
      <c r="B42" s="27">
        <f>Rebirth!S35</f>
        <v/>
      </c>
      <c r="C42" s="7" t="inlineStr">
        <is>
          <t>info</t>
        </is>
      </c>
      <c r="D42" s="7" t="inlineStr">
        <is>
          <t>info</t>
        </is>
      </c>
    </row>
    <row r="43">
      <c r="A43" s="7" t="inlineStr">
        <is>
          <t>Achievement Qi × at full completion</t>
        </is>
      </c>
      <c r="B43" s="21">
        <f>1+Inputs!B17</f>
        <v/>
      </c>
      <c r="C43" s="7" t="inlineStr">
        <is>
          <t>info (decision #62)</t>
        </is>
      </c>
      <c r="D43" s="7" t="inlineStr">
        <is>
          <t>info</t>
        </is>
      </c>
    </row>
  </sheetData>
  <conditionalFormatting sqref="E5:E15">
    <cfRule type="expression" priority="1" dxfId="0">
      <formula>ISNUMBER(SEARCH("OK",E5))</formula>
    </cfRule>
    <cfRule type="expression" priority="2" dxfId="1">
      <formula>OR(ISNUMBER(SEARCH("Retune",E5)),ISNUMBER(SEARCH("Check",E5)))</formula>
    </cfRule>
  </conditionalFormatting>
  <conditionalFormatting sqref="E20:E26">
    <cfRule type="expression" priority="3" dxfId="0">
      <formula>ISNUMBER(SEARCH("OK",E20))</formula>
    </cfRule>
    <cfRule type="expression" priority="4" dxfId="1">
      <formula>OR(ISNUMBER(SEARCH("Retune",E20)),ISNUMBER(SEARCH("Check",E20)))</formula>
    </cfRule>
  </conditionalFormatting>
  <conditionalFormatting sqref="E30:E35">
    <cfRule type="expression" priority="5" dxfId="0">
      <formula>ISNUMBER(SEARCH("OK",E30))</formula>
    </cfRule>
    <cfRule type="expression" priority="6" dxfId="1">
      <formula>OR(ISNUMBER(SEARCH("Retune",E30)),ISNUMBER(SEARCH("Check",E30)))</formula>
    </cfRule>
  </conditionalFormatting>
  <conditionalFormatting sqref="D39:D43">
    <cfRule type="expression" priority="7" dxfId="0">
      <formula>ISNUMBER(SEARCH("OK",D39))</formula>
    </cfRule>
    <cfRule type="expression" priority="8" dxfId="1">
      <formula>OR(ISNUMBER(SEARCH("Retune",D39)),ISNUMBER(SEARCH("Check",D39)))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2026-10-17T09:11:00Z</dcterms:created>
  <dcterms:modified xsi:type="dcterms:W3CDTF">2026-10-17T09:11:00Z</dcterms:modified>
</cp:coreProperties>
</file>